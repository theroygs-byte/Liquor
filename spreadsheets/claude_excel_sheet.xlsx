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276" tabRatio="600" firstSheet="0" activeTab="1" autoFilterDateGrouping="1"/>
  </bookViews>
  <sheets>
    <sheet name="Master Order Guide" sheetId="1" state="visible" r:id="rId1"/>
    <sheet name="Inventory Location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&quot;$&quot;* #,##0.00_);_(&quot;$&quot;* \(#,##0.00\);_(&quot;$&quot;* &quot;-&quot;??_);_(@_)"/>
    <numFmt numFmtId="166" formatCode="&quot;$&quot;#,##0.00_);[Red]\(&quot;$&quot;#,##0.00\)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C00000"/>
      <sz val="11"/>
      <scheme val="minor"/>
    </font>
    <font>
      <name val="Calibri"/>
      <family val="2"/>
      <sz val="11"/>
    </font>
    <font>
      <name val="Aptos Narrow"/>
      <family val="2"/>
      <color theme="1"/>
      <sz val="14"/>
      <scheme val="minor"/>
    </font>
    <font>
      <name val="Aptos Narrow"/>
      <family val="2"/>
      <color theme="9" tint="0.5999938962981048"/>
      <sz val="11"/>
      <scheme val="minor"/>
    </font>
    <font>
      <name val="Aptos Narrow"/>
      <family val="2"/>
      <color theme="7" tint="0.5999938962981048"/>
      <sz val="11"/>
      <scheme val="minor"/>
    </font>
    <font>
      <name val="Aptos Narrow"/>
      <family val="2"/>
      <color theme="8" tint="0.5999938962981048"/>
      <sz val="11"/>
      <scheme val="minor"/>
    </font>
    <font>
      <name val="Aptos Narrow"/>
      <family val="2"/>
      <color theme="5" tint="0.5999938962981048"/>
      <sz val="11"/>
      <scheme val="minor"/>
    </font>
    <font>
      <name val="Aptos Narrow"/>
      <family val="2"/>
      <color theme="3" tint="0.09997863704336681"/>
      <sz val="11"/>
      <scheme val="minor"/>
    </font>
    <font>
      <name val="Aptos Narrow"/>
      <family val="2"/>
      <color theme="5" tint="-0.249977111117893"/>
      <sz val="11"/>
      <scheme val="minor"/>
    </font>
    <font>
      <name val="Aptos Narrow"/>
      <family val="2"/>
      <color theme="3" tint="0.249977111117893"/>
      <sz val="11"/>
      <scheme val="minor"/>
    </font>
    <font>
      <name val="Aptos Narrow"/>
      <family val="2"/>
      <color theme="9" tint="-0.249977111117893"/>
      <sz val="11"/>
      <scheme val="minor"/>
    </font>
    <font>
      <name val="Aptos Narrow"/>
      <family val="2"/>
      <color theme="8" tint="-0.249977111117893"/>
      <sz val="11"/>
      <scheme val="minor"/>
    </font>
    <font>
      <name val="Aptos Narrow"/>
      <family val="2"/>
      <color rgb="FF00B0F0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81">
    <xf numFmtId="0" fontId="0" fillId="0" borderId="0" pivotButton="0" quotePrefix="0" xfId="0"/>
    <xf numFmtId="0" fontId="3" fillId="0" borderId="0" pivotButton="0" quotePrefix="0" xfId="0"/>
    <xf numFmtId="14" fontId="0" fillId="0" borderId="1" pivotButton="0" quotePrefix="0" xfId="0"/>
    <xf numFmtId="164" fontId="0" fillId="0" borderId="1" pivotButton="0" quotePrefix="0" xfId="1"/>
    <xf numFmtId="165" fontId="0" fillId="0" borderId="0" pivotButton="0" quotePrefix="0" xfId="2"/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2" applyAlignment="1" pivotButton="0" quotePrefix="0" xfId="2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1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0" applyAlignment="1" pivotButton="0" quotePrefix="0" xfId="2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2">
      <alignment horizontal="center" vertical="center" wrapText="1"/>
    </xf>
    <xf numFmtId="165" fontId="1" fillId="0" borderId="2" applyAlignment="1" pivotButton="0" quotePrefix="0" xfId="2">
      <alignment horizontal="center" vertical="center"/>
    </xf>
    <xf numFmtId="43" fontId="0" fillId="0" borderId="2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166" fontId="0" fillId="0" borderId="2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6" applyAlignment="1" pivotButton="0" quotePrefix="0" xfId="2">
      <alignment horizontal="center" vertical="center"/>
    </xf>
    <xf numFmtId="0" fontId="4" fillId="0" borderId="2" applyAlignment="1" pivotButton="0" quotePrefix="1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1">
      <alignment horizontal="center" vertical="center"/>
    </xf>
    <xf numFmtId="165" fontId="0" fillId="0" borderId="5" applyAlignment="1" pivotButton="0" quotePrefix="0" xfId="2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5" fontId="2" fillId="0" borderId="2" applyAlignment="1" pivotButton="0" quotePrefix="0" xfId="2">
      <alignment horizontal="center" vertical="center"/>
    </xf>
    <xf numFmtId="0" fontId="8" fillId="0" borderId="2" applyAlignment="1" pivotButton="0" quotePrefix="0" xfId="0">
      <alignment horizontal="center" vertical="center"/>
    </xf>
    <xf numFmtId="165" fontId="11" fillId="0" borderId="2" applyAlignment="1" pivotButton="0" quotePrefix="0" xfId="2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13" fillId="0" borderId="2" applyAlignment="1" pivotButton="0" quotePrefix="0" xfId="2">
      <alignment horizontal="center" vertical="center"/>
    </xf>
    <xf numFmtId="165" fontId="14" fillId="0" borderId="2" applyAlignment="1" pivotButton="0" quotePrefix="0" xfId="2">
      <alignment horizontal="center" vertical="center"/>
    </xf>
    <xf numFmtId="165" fontId="15" fillId="0" borderId="2" applyAlignment="1" pivotButton="0" quotePrefix="0" xfId="2">
      <alignment horizontal="center" vertical="center"/>
    </xf>
    <xf numFmtId="165" fontId="10" fillId="0" borderId="2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 vertical="center"/>
    </xf>
    <xf numFmtId="165" fontId="15" fillId="0" borderId="2" applyAlignment="1" pivotButton="0" quotePrefix="0" xfId="2">
      <alignment horizontal="center" vertical="center" wrapText="1"/>
    </xf>
    <xf numFmtId="165" fontId="0" fillId="0" borderId="2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2" fillId="0" borderId="2" applyAlignment="1" pivotButton="0" quotePrefix="0" xfId="2">
      <alignment horizontal="center" vertical="center"/>
    </xf>
    <xf numFmtId="165" fontId="14" fillId="0" borderId="2" applyAlignment="1" pivotButton="0" quotePrefix="0" xfId="2">
      <alignment horizontal="center" vertical="center" wrapText="1"/>
    </xf>
    <xf numFmtId="165" fontId="14" fillId="0" borderId="3" applyAlignment="1" pivotButton="0" quotePrefix="0" xfId="2">
      <alignment horizontal="center" vertical="center"/>
    </xf>
    <xf numFmtId="165" fontId="14" fillId="0" borderId="0" applyAlignment="1" pivotButton="0" quotePrefix="0" xfId="2">
      <alignment horizontal="center" vertical="center"/>
    </xf>
    <xf numFmtId="165" fontId="16" fillId="0" borderId="2" applyAlignment="1" pivotButton="0" quotePrefix="0" xfId="2">
      <alignment horizontal="center" vertical="center"/>
    </xf>
    <xf numFmtId="165" fontId="16" fillId="0" borderId="0" applyAlignment="1" pivotButton="0" quotePrefix="0" xfId="2">
      <alignment horizontal="center" vertical="center"/>
    </xf>
    <xf numFmtId="165" fontId="17" fillId="0" borderId="2" applyAlignment="1" pivotButton="0" quotePrefix="0" xfId="2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5" fontId="18" fillId="0" borderId="2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2"/>
    <xf numFmtId="165" fontId="2" fillId="0" borderId="2" applyAlignment="1" pivotButton="0" quotePrefix="0" xfId="2">
      <alignment horizontal="center" vertical="center" wrapText="1"/>
    </xf>
    <xf numFmtId="165" fontId="0" fillId="0" borderId="2" applyAlignment="1" pivotButton="0" quotePrefix="0" xfId="2">
      <alignment horizontal="center" vertical="center"/>
    </xf>
    <xf numFmtId="165" fontId="14" fillId="0" borderId="2" applyAlignment="1" pivotButton="0" quotePrefix="0" xfId="2">
      <alignment horizontal="center" vertical="center"/>
    </xf>
    <xf numFmtId="165" fontId="15" fillId="0" borderId="2" applyAlignment="1" pivotButton="0" quotePrefix="0" xfId="2">
      <alignment horizontal="center" vertical="center"/>
    </xf>
    <xf numFmtId="165" fontId="13" fillId="0" borderId="2" applyAlignment="1" pivotButton="0" quotePrefix="0" xfId="2">
      <alignment horizontal="center" vertical="center"/>
    </xf>
    <xf numFmtId="165" fontId="10" fillId="0" borderId="2" applyAlignment="1" pivotButton="0" quotePrefix="0" xfId="2">
      <alignment horizontal="center" vertical="center"/>
    </xf>
    <xf numFmtId="165" fontId="0" fillId="0" borderId="5" applyAlignment="1" pivotButton="0" quotePrefix="0" xfId="2">
      <alignment horizontal="center" vertical="center"/>
    </xf>
    <xf numFmtId="165" fontId="0" fillId="0" borderId="0" applyAlignment="1" pivotButton="0" quotePrefix="0" xfId="2">
      <alignment horizontal="center" vertical="center"/>
    </xf>
    <xf numFmtId="165" fontId="15" fillId="0" borderId="2" applyAlignment="1" pivotButton="0" quotePrefix="0" xfId="2">
      <alignment horizontal="center" vertical="center" wrapText="1"/>
    </xf>
    <xf numFmtId="165" fontId="0" fillId="0" borderId="6" applyAlignment="1" pivotButton="0" quotePrefix="0" xfId="2">
      <alignment horizontal="center" vertical="center"/>
    </xf>
    <xf numFmtId="166" fontId="0" fillId="0" borderId="2" applyAlignment="1" pivotButton="0" quotePrefix="0" xfId="2">
      <alignment horizontal="center" vertical="center"/>
    </xf>
    <xf numFmtId="165" fontId="18" fillId="0" borderId="2" applyAlignment="1" pivotButton="0" quotePrefix="0" xfId="2">
      <alignment horizontal="center" vertical="center"/>
    </xf>
    <xf numFmtId="165" fontId="11" fillId="0" borderId="2" applyAlignment="1" pivotButton="0" quotePrefix="0" xfId="2">
      <alignment horizontal="center" vertical="center"/>
    </xf>
    <xf numFmtId="165" fontId="1" fillId="0" borderId="2" applyAlignment="1" pivotButton="0" quotePrefix="0" xfId="2">
      <alignment horizontal="center" vertical="center"/>
    </xf>
    <xf numFmtId="165" fontId="2" fillId="0" borderId="2" applyAlignment="1" pivotButton="0" quotePrefix="0" xfId="2">
      <alignment horizontal="center" vertical="center"/>
    </xf>
    <xf numFmtId="165" fontId="14" fillId="0" borderId="2" applyAlignment="1" pivotButton="0" quotePrefix="0" xfId="2">
      <alignment horizontal="center" vertical="center" wrapText="1"/>
    </xf>
    <xf numFmtId="165" fontId="14" fillId="0" borderId="3" applyAlignment="1" pivotButton="0" quotePrefix="0" xfId="2">
      <alignment horizontal="center" vertical="center"/>
    </xf>
    <xf numFmtId="165" fontId="16" fillId="0" borderId="2" applyAlignment="1" pivotButton="0" quotePrefix="0" xfId="2">
      <alignment horizontal="center" vertical="center"/>
    </xf>
    <xf numFmtId="165" fontId="17" fillId="0" borderId="2" applyAlignment="1" pivotButton="0" quotePrefix="0" xfId="2">
      <alignment horizontal="center" vertical="center"/>
    </xf>
    <xf numFmtId="165" fontId="14" fillId="0" borderId="0" applyAlignment="1" pivotButton="0" quotePrefix="0" xfId="2">
      <alignment horizontal="center" vertical="center"/>
    </xf>
    <xf numFmtId="165" fontId="16" fillId="0" borderId="0" applyAlignment="1" pivotButton="0" quotePrefix="0" xfId="2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3">
    <cellStyle name="Normal" xfId="0" builtinId="0"/>
    <cellStyle name="Comma" xfId="1" builtinId="3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00"/>
  <sheetViews>
    <sheetView topLeftCell="A55" zoomScaleNormal="100" workbookViewId="0">
      <selection activeCell="A35" sqref="A35"/>
    </sheetView>
  </sheetViews>
  <sheetFormatPr baseColWidth="8" defaultRowHeight="14.25"/>
  <cols>
    <col width="31" customWidth="1" min="1" max="1"/>
    <col width="23.59765625" customWidth="1" min="2" max="2"/>
    <col width="13.73046875" customWidth="1" min="3" max="3"/>
    <col width="15" customWidth="1" min="6" max="6"/>
    <col width="17.1328125" customWidth="1" min="7" max="7"/>
    <col width="15.265625" customWidth="1" min="8" max="8"/>
    <col width="14" customWidth="1" min="9" max="9"/>
    <col width="27.86328125" customWidth="1" min="10" max="10"/>
    <col width="24.3984375" customWidth="1" min="11" max="11"/>
    <col width="11.73046875" customWidth="1" min="12" max="12"/>
    <col width="13.3984375" customWidth="1" min="13" max="13"/>
    <col width="14.59765625" customWidth="1" min="14" max="14"/>
    <col width="15.3984375" customWidth="1" min="16" max="16"/>
    <col width="15.73046875" customWidth="1" min="17" max="17"/>
    <col width="15.86328125" customWidth="1" min="18" max="18"/>
  </cols>
  <sheetData>
    <row r="1" ht="18.4" customHeight="1" thickBot="1">
      <c r="A1" s="1" t="inlineStr">
        <is>
          <t>Roy G's Liquor Inventory</t>
        </is>
      </c>
      <c r="B1" s="1" t="n"/>
      <c r="C1" s="1" t="inlineStr">
        <is>
          <t>Date:</t>
        </is>
      </c>
      <c r="D1" s="2" t="inlineStr">
        <is>
          <t>2026-06-29</t>
        </is>
      </c>
      <c r="E1" s="3" t="n"/>
      <c r="G1" s="58" t="n"/>
      <c r="H1" s="58" t="n"/>
      <c r="I1" s="58" t="n"/>
      <c r="N1" s="5" t="n"/>
      <c r="P1" s="58" t="n"/>
      <c r="Q1" s="58" t="n"/>
      <c r="R1" s="58" t="n"/>
    </row>
    <row r="2">
      <c r="E2" s="5" t="n"/>
      <c r="G2" s="58" t="n"/>
      <c r="H2" s="58" t="n"/>
      <c r="I2" s="58" t="n"/>
      <c r="N2" s="5" t="n"/>
      <c r="P2" s="58" t="n"/>
      <c r="Q2" s="58" t="n"/>
      <c r="R2" s="58" t="n"/>
    </row>
    <row r="3" ht="28.5" customHeight="1">
      <c r="A3" s="8" t="n"/>
      <c r="B3" s="27" t="inlineStr">
        <is>
          <t>Liquor
Level</t>
        </is>
      </c>
      <c r="C3" s="14" t="inlineStr">
        <is>
          <t>Size</t>
        </is>
      </c>
      <c r="D3" s="14" t="inlineStr">
        <is>
          <t>Par</t>
        </is>
      </c>
      <c r="E3" s="15" t="inlineStr">
        <is>
          <t>On Hand</t>
        </is>
      </c>
      <c r="F3" s="27" t="inlineStr">
        <is>
          <t>Need to Order</t>
        </is>
      </c>
      <c r="G3" s="59" t="inlineStr">
        <is>
          <t>Cost Per Bottle</t>
        </is>
      </c>
      <c r="H3" s="59" t="inlineStr">
        <is>
          <t>Extended Value</t>
        </is>
      </c>
      <c r="I3" s="59" t="inlineStr">
        <is>
          <t>Vendor</t>
        </is>
      </c>
      <c r="J3" s="8" t="n"/>
      <c r="K3" s="27" t="inlineStr">
        <is>
          <t>Liquor
Level</t>
        </is>
      </c>
      <c r="L3" s="14" t="inlineStr">
        <is>
          <t>Size</t>
        </is>
      </c>
      <c r="M3" s="14" t="inlineStr">
        <is>
          <t>Par</t>
        </is>
      </c>
      <c r="N3" s="15" t="inlineStr">
        <is>
          <t>On Hand</t>
        </is>
      </c>
      <c r="O3" s="27" t="inlineStr">
        <is>
          <t>Need to Order</t>
        </is>
      </c>
      <c r="P3" s="59" t="inlineStr">
        <is>
          <t>Cost Per Bottle</t>
        </is>
      </c>
      <c r="Q3" s="59" t="inlineStr">
        <is>
          <t>Extended Value</t>
        </is>
      </c>
      <c r="R3" s="59" t="inlineStr">
        <is>
          <t>Vendor</t>
        </is>
      </c>
    </row>
    <row r="4" ht="18" customHeight="1">
      <c r="A4" s="25" t="inlineStr">
        <is>
          <t>Vodka</t>
        </is>
      </c>
      <c r="B4" s="25" t="n"/>
      <c r="C4" s="8" t="n"/>
      <c r="D4" s="8" t="n"/>
      <c r="E4" s="9" t="n"/>
      <c r="F4" s="8" t="n"/>
      <c r="G4" s="60" t="n"/>
      <c r="H4" s="60" t="n"/>
      <c r="I4" s="60" t="n"/>
      <c r="J4" s="25" t="inlineStr">
        <is>
          <t>Agave/Tequila</t>
        </is>
      </c>
      <c r="K4" s="8" t="n"/>
      <c r="L4" s="8" t="n"/>
      <c r="M4" s="8" t="n"/>
      <c r="N4" s="9" t="n"/>
      <c r="O4" s="8" t="n"/>
      <c r="P4" s="60" t="n"/>
      <c r="Q4" s="60" t="n"/>
      <c r="R4" s="60" t="n"/>
    </row>
    <row r="5" ht="15.75" customHeight="1">
      <c r="A5" s="10" t="n"/>
      <c r="B5" s="26" t="n"/>
      <c r="C5" s="8" t="n"/>
      <c r="D5" s="8" t="n"/>
      <c r="E5" s="9" t="n"/>
      <c r="F5" s="9">
        <f>D5-E5</f>
        <v/>
      </c>
      <c r="G5" s="60" t="n"/>
      <c r="H5" s="60">
        <f>G5*E5</f>
        <v/>
      </c>
      <c r="I5" s="60" t="n"/>
      <c r="J5" s="24" t="inlineStr">
        <is>
          <t>Patron Silver</t>
        </is>
      </c>
      <c r="K5" s="8" t="n"/>
      <c r="L5" s="8" t="n"/>
      <c r="M5" s="8" t="n"/>
      <c r="N5" s="9" t="n">
        <v>0</v>
      </c>
      <c r="O5" s="9">
        <f>M5-N5</f>
        <v/>
      </c>
      <c r="P5" s="60" t="n">
        <v>50.54</v>
      </c>
      <c r="Q5" s="60">
        <f>P5*N5</f>
        <v/>
      </c>
      <c r="R5" s="61" t="inlineStr">
        <is>
          <t>Specs</t>
        </is>
      </c>
    </row>
    <row r="6">
      <c r="A6" s="10" t="inlineStr">
        <is>
          <t>Grey Goose</t>
        </is>
      </c>
      <c r="B6" s="8" t="n"/>
      <c r="C6" s="8" t="inlineStr">
        <is>
          <t>1L</t>
        </is>
      </c>
      <c r="D6" s="8" t="n"/>
      <c r="E6" s="9" t="n">
        <v>0</v>
      </c>
      <c r="F6" s="9">
        <f>D6-E6</f>
        <v/>
      </c>
      <c r="G6" s="60" t="n">
        <v>36.29</v>
      </c>
      <c r="H6" s="60">
        <f>G6*F6</f>
        <v/>
      </c>
      <c r="I6" s="62" t="inlineStr">
        <is>
          <t>Twin</t>
        </is>
      </c>
      <c r="J6" s="10" t="inlineStr">
        <is>
          <t>Don Julio Silver</t>
        </is>
      </c>
      <c r="K6" s="8" t="n"/>
      <c r="L6" s="8" t="n"/>
      <c r="M6" s="8" t="n"/>
      <c r="N6" s="9" t="n">
        <v>0</v>
      </c>
      <c r="O6" s="9">
        <f>M6-N6</f>
        <v/>
      </c>
      <c r="P6" s="60" t="n">
        <v>155.16</v>
      </c>
      <c r="Q6" s="60">
        <f>P6*N6</f>
        <v/>
      </c>
      <c r="R6" s="62" t="inlineStr">
        <is>
          <t>Twin</t>
        </is>
      </c>
    </row>
    <row r="7">
      <c r="A7" s="10" t="inlineStr">
        <is>
          <t>Belvedere</t>
        </is>
      </c>
      <c r="B7" s="8" t="n"/>
      <c r="C7" s="8" t="inlineStr">
        <is>
          <t>1L</t>
        </is>
      </c>
      <c r="D7" s="8" t="n"/>
      <c r="E7" s="9" t="n">
        <v>0</v>
      </c>
      <c r="F7" s="9">
        <f>D7-E7</f>
        <v/>
      </c>
      <c r="G7" s="60" t="n">
        <v>22.18</v>
      </c>
      <c r="H7" s="60">
        <f>G7*F7</f>
        <v/>
      </c>
      <c r="I7" s="62" t="inlineStr">
        <is>
          <t>Twin</t>
        </is>
      </c>
      <c r="J7" s="10" t="inlineStr">
        <is>
          <t>Aguasol Blanco</t>
        </is>
      </c>
      <c r="K7" s="8" t="n"/>
      <c r="L7" s="8" t="n"/>
      <c r="M7" s="8" t="n"/>
      <c r="N7" s="9" t="n">
        <v>0</v>
      </c>
      <c r="O7" s="9">
        <f>M7-N7</f>
        <v/>
      </c>
      <c r="P7" s="60" t="n">
        <v>46.51</v>
      </c>
      <c r="Q7" s="60">
        <f>P7*N7</f>
        <v/>
      </c>
      <c r="R7" s="62" t="inlineStr">
        <is>
          <t>Twin</t>
        </is>
      </c>
    </row>
    <row r="8">
      <c r="A8" s="10" t="inlineStr">
        <is>
          <t>Ketle One</t>
        </is>
      </c>
      <c r="B8" s="8" t="n"/>
      <c r="C8" s="8" t="inlineStr">
        <is>
          <t>1L</t>
        </is>
      </c>
      <c r="D8" s="8" t="n"/>
      <c r="E8" s="9" t="n">
        <v>0</v>
      </c>
      <c r="F8" s="9">
        <f>D8-E8</f>
        <v/>
      </c>
      <c r="G8" s="60" t="n">
        <v>33.91</v>
      </c>
      <c r="H8" s="60">
        <f>G8*F8</f>
        <v/>
      </c>
      <c r="I8" s="61" t="inlineStr">
        <is>
          <t>Specs</t>
        </is>
      </c>
      <c r="J8" s="10" t="inlineStr">
        <is>
          <t>Aguasol Repo</t>
        </is>
      </c>
      <c r="K8" s="8" t="n"/>
      <c r="L8" s="8" t="n"/>
      <c r="M8" s="8" t="n"/>
      <c r="N8" s="9" t="n">
        <v>0</v>
      </c>
      <c r="O8" s="9">
        <f>M8-N8</f>
        <v/>
      </c>
      <c r="P8" s="60" t="n">
        <v>49.47</v>
      </c>
      <c r="Q8" s="60">
        <f>P8*N8</f>
        <v/>
      </c>
      <c r="R8" s="61" t="inlineStr">
        <is>
          <t>Specs</t>
        </is>
      </c>
    </row>
    <row r="9">
      <c r="A9" s="10" t="inlineStr">
        <is>
          <t>Haiken Lychee Vodka</t>
        </is>
      </c>
      <c r="B9" s="8" t="n"/>
      <c r="C9" s="8" t="inlineStr">
        <is>
          <t>1L</t>
        </is>
      </c>
      <c r="D9" s="8" t="n"/>
      <c r="E9" s="9" t="n">
        <v>0</v>
      </c>
      <c r="F9" s="9">
        <f>D9-E9</f>
        <v/>
      </c>
      <c r="G9" s="60" t="n">
        <v>61.61</v>
      </c>
      <c r="H9" s="60">
        <f>G9*F9</f>
        <v/>
      </c>
      <c r="I9" s="63" t="inlineStr">
        <is>
          <t>Twin</t>
        </is>
      </c>
      <c r="J9" s="10" t="inlineStr">
        <is>
          <t>Casamigos Silver</t>
        </is>
      </c>
      <c r="K9" s="8" t="n"/>
      <c r="L9" s="8" t="n"/>
      <c r="M9" s="8" t="n"/>
      <c r="N9" s="9" t="n"/>
      <c r="O9" s="9">
        <f>M9-N9</f>
        <v/>
      </c>
      <c r="P9" s="60" t="n">
        <v>46.28</v>
      </c>
      <c r="Q9" s="60">
        <f>P9*N9</f>
        <v/>
      </c>
      <c r="R9" s="61" t="inlineStr">
        <is>
          <t>Specs</t>
        </is>
      </c>
    </row>
    <row r="10">
      <c r="A10" s="10" t="inlineStr">
        <is>
          <t>Figenza Fig Vodka</t>
        </is>
      </c>
      <c r="B10" s="8" t="n"/>
      <c r="C10" s="8" t="inlineStr">
        <is>
          <t>1L</t>
        </is>
      </c>
      <c r="D10" s="8" t="n"/>
      <c r="E10" s="9" t="n">
        <v>0</v>
      </c>
      <c r="F10" s="9">
        <f>D10-E10</f>
        <v/>
      </c>
      <c r="G10" s="60" t="n">
        <v>27.39</v>
      </c>
      <c r="H10" s="60">
        <f>G10*F10</f>
        <v/>
      </c>
      <c r="I10" s="61" t="inlineStr">
        <is>
          <t>Specs</t>
        </is>
      </c>
      <c r="J10" s="10" t="inlineStr">
        <is>
          <t>Espolon Blanco</t>
        </is>
      </c>
      <c r="K10" s="8" t="n"/>
      <c r="L10" s="8" t="n"/>
      <c r="M10" s="8" t="n"/>
      <c r="N10" s="9" t="n">
        <v>0</v>
      </c>
      <c r="O10" s="9">
        <f>M10-N10</f>
        <v/>
      </c>
      <c r="P10" s="60" t="n">
        <v>6.91</v>
      </c>
      <c r="Q10" s="60">
        <f>P10*N10</f>
        <v/>
      </c>
      <c r="R10" s="61" t="inlineStr">
        <is>
          <t>Specs</t>
        </is>
      </c>
    </row>
    <row r="11">
      <c r="A11" s="10" t="inlineStr">
        <is>
          <t>Stoli Elit</t>
        </is>
      </c>
      <c r="B11" s="8" t="n"/>
      <c r="C11" s="8" t="inlineStr">
        <is>
          <t>1L</t>
        </is>
      </c>
      <c r="D11" s="8" t="n"/>
      <c r="E11" s="9" t="n">
        <v>0</v>
      </c>
      <c r="F11" s="9">
        <f>D11-E11</f>
        <v/>
      </c>
      <c r="G11" s="60" t="n">
        <v>19.43</v>
      </c>
      <c r="H11" s="60">
        <f>G11*F11</f>
        <v/>
      </c>
      <c r="I11" s="62" t="inlineStr">
        <is>
          <t>Twin</t>
        </is>
      </c>
      <c r="J11" s="10" t="inlineStr">
        <is>
          <t>Espolon Repo</t>
        </is>
      </c>
      <c r="K11" s="8" t="n"/>
      <c r="L11" s="8" t="n"/>
      <c r="M11" s="8" t="n"/>
      <c r="N11" s="9" t="n">
        <v>0</v>
      </c>
      <c r="O11" s="9">
        <f>M11-N11</f>
        <v/>
      </c>
      <c r="P11" s="60" t="n">
        <v>30.05</v>
      </c>
      <c r="Q11" s="60">
        <f>P11*N11</f>
        <v/>
      </c>
      <c r="R11" s="61" t="inlineStr">
        <is>
          <t>Specs</t>
        </is>
      </c>
    </row>
    <row r="12">
      <c r="A12" s="10" t="inlineStr">
        <is>
          <t>Stoli 80</t>
        </is>
      </c>
      <c r="B12" s="8" t="n"/>
      <c r="C12" s="8" t="inlineStr">
        <is>
          <t>1L</t>
        </is>
      </c>
      <c r="D12" s="8" t="n"/>
      <c r="E12" s="9" t="n">
        <v>0</v>
      </c>
      <c r="F12" s="9">
        <f>D12-E12</f>
        <v/>
      </c>
      <c r="G12" s="60" t="n">
        <v>19.43</v>
      </c>
      <c r="H12" s="60">
        <f>G12*F12</f>
        <v/>
      </c>
      <c r="I12" s="62" t="inlineStr">
        <is>
          <t>Twin</t>
        </is>
      </c>
      <c r="J12" s="20" t="inlineStr">
        <is>
          <t>Espolon Anejo</t>
        </is>
      </c>
      <c r="K12" s="12" t="n"/>
      <c r="L12" s="12" t="n"/>
      <c r="M12" s="12" t="n"/>
      <c r="N12" s="9" t="n">
        <v>0</v>
      </c>
      <c r="O12" s="9">
        <f>M12-N12</f>
        <v/>
      </c>
      <c r="P12" s="60" t="n">
        <v>30.05</v>
      </c>
      <c r="Q12" s="60">
        <f>P12*N12</f>
        <v/>
      </c>
      <c r="R12" s="61" t="inlineStr">
        <is>
          <t>Specs</t>
        </is>
      </c>
    </row>
    <row r="13">
      <c r="A13" s="10" t="inlineStr">
        <is>
          <t>Stoli Vanillia</t>
        </is>
      </c>
      <c r="B13" s="8" t="n"/>
      <c r="C13" s="8" t="inlineStr">
        <is>
          <t>1L</t>
        </is>
      </c>
      <c r="D13" s="8" t="n"/>
      <c r="E13" s="9" t="n">
        <v>0</v>
      </c>
      <c r="F13" s="9">
        <f>D13-E13</f>
        <v/>
      </c>
      <c r="G13" s="60" t="n">
        <v>19.43</v>
      </c>
      <c r="H13" s="60">
        <f>G13*F13</f>
        <v/>
      </c>
      <c r="I13" s="62" t="inlineStr">
        <is>
          <t>Twin</t>
        </is>
      </c>
      <c r="J13" s="10" t="inlineStr">
        <is>
          <t>Illegal Joven Mezcal</t>
        </is>
      </c>
      <c r="K13" s="8" t="n"/>
      <c r="L13" s="8" t="n"/>
      <c r="M13" s="8" t="n"/>
      <c r="N13" s="9" t="n"/>
      <c r="O13" s="9">
        <f>M13-N13</f>
        <v/>
      </c>
      <c r="P13" s="60" t="n">
        <v>33.3</v>
      </c>
      <c r="Q13" s="60">
        <f>P13*N13</f>
        <v/>
      </c>
      <c r="R13" s="62" t="inlineStr">
        <is>
          <t>Twin</t>
        </is>
      </c>
    </row>
    <row r="14">
      <c r="A14" s="10" t="inlineStr">
        <is>
          <t>Stoli Cucumber</t>
        </is>
      </c>
      <c r="B14" s="8" t="n"/>
      <c r="C14" s="8" t="inlineStr">
        <is>
          <t>1L</t>
        </is>
      </c>
      <c r="D14" s="8" t="n"/>
      <c r="E14" s="9" t="n">
        <v>0</v>
      </c>
      <c r="F14" s="9">
        <f>D14-E14</f>
        <v/>
      </c>
      <c r="G14" s="60" t="n">
        <v>19.43</v>
      </c>
      <c r="H14" s="60">
        <f>G14*F14</f>
        <v/>
      </c>
      <c r="I14" s="62" t="inlineStr">
        <is>
          <t>Twin</t>
        </is>
      </c>
      <c r="J14" s="10" t="inlineStr">
        <is>
          <t>Casa Alta Silver</t>
        </is>
      </c>
      <c r="K14" s="8" t="n"/>
      <c r="L14" s="8" t="n"/>
      <c r="M14" s="8" t="n"/>
      <c r="N14" s="9" t="n"/>
      <c r="O14" s="9">
        <f>M14-N14</f>
        <v/>
      </c>
      <c r="P14" s="60" t="n">
        <v>41.49</v>
      </c>
      <c r="Q14" s="60">
        <f>P14*N14</f>
        <v/>
      </c>
      <c r="R14" s="61" t="inlineStr">
        <is>
          <t>Specs</t>
        </is>
      </c>
    </row>
    <row r="15">
      <c r="A15" s="10" t="inlineStr">
        <is>
          <t>Stoli Blueberry</t>
        </is>
      </c>
      <c r="B15" s="8" t="n"/>
      <c r="C15" s="8" t="inlineStr">
        <is>
          <t>1L</t>
        </is>
      </c>
      <c r="D15" s="8" t="n"/>
      <c r="E15" s="9" t="n">
        <v>0</v>
      </c>
      <c r="F15" s="9">
        <f>D15-E15</f>
        <v/>
      </c>
      <c r="G15" s="60" t="n">
        <v>19.43</v>
      </c>
      <c r="H15" s="60">
        <f>G15*F15</f>
        <v/>
      </c>
      <c r="I15" s="62" t="inlineStr">
        <is>
          <t>Twin</t>
        </is>
      </c>
      <c r="J15" s="10" t="n"/>
      <c r="K15" s="8" t="n"/>
      <c r="L15" s="8" t="n"/>
      <c r="M15" s="8" t="n"/>
      <c r="N15" s="9" t="n"/>
      <c r="O15" s="9">
        <f>M15-N15</f>
        <v/>
      </c>
      <c r="P15" s="60" t="n"/>
      <c r="Q15" s="60">
        <f>P15*N15</f>
        <v/>
      </c>
      <c r="R15" s="64" t="n"/>
    </row>
    <row r="16">
      <c r="A16" s="10" t="inlineStr">
        <is>
          <t>Stoli Orange</t>
        </is>
      </c>
      <c r="B16" s="8" t="n"/>
      <c r="C16" s="8" t="inlineStr">
        <is>
          <t>1L</t>
        </is>
      </c>
      <c r="D16" s="8" t="n"/>
      <c r="E16" s="9" t="n">
        <v>0</v>
      </c>
      <c r="F16" s="9" t="n">
        <v>1</v>
      </c>
      <c r="G16" s="60" t="n">
        <v>12.89</v>
      </c>
      <c r="H16" s="60">
        <f>G16*F16</f>
        <v/>
      </c>
      <c r="I16" s="61" t="inlineStr">
        <is>
          <t>Specs</t>
        </is>
      </c>
      <c r="J16" s="10" t="n"/>
      <c r="K16" s="8" t="n"/>
      <c r="L16" s="8" t="n"/>
      <c r="M16" s="8" t="n"/>
      <c r="N16" s="9" t="n"/>
      <c r="O16" s="9">
        <f>M16-N16</f>
        <v/>
      </c>
      <c r="P16" s="60" t="n"/>
      <c r="Q16" s="60">
        <f>P16*N16</f>
        <v/>
      </c>
      <c r="R16" s="64" t="n"/>
    </row>
    <row r="17">
      <c r="A17" s="10" t="inlineStr">
        <is>
          <t>Absolut Tabasco</t>
        </is>
      </c>
      <c r="B17" s="8" t="n"/>
      <c r="C17" s="8" t="inlineStr">
        <is>
          <t>1L</t>
        </is>
      </c>
      <c r="D17" s="8" t="n"/>
      <c r="E17" s="9" t="n">
        <v>0</v>
      </c>
      <c r="F17" s="9">
        <f>D17-E17</f>
        <v/>
      </c>
      <c r="G17" s="60" t="n">
        <v>22.62</v>
      </c>
      <c r="H17" s="60">
        <f>G17*F17</f>
        <v/>
      </c>
      <c r="I17" s="61" t="inlineStr">
        <is>
          <t>Specs</t>
        </is>
      </c>
      <c r="J17" s="10" t="n"/>
      <c r="K17" s="8" t="n"/>
      <c r="L17" s="8" t="n"/>
      <c r="M17" s="8" t="n"/>
      <c r="N17" s="9" t="n"/>
      <c r="O17" s="9">
        <f>M17-N17</f>
        <v/>
      </c>
      <c r="P17" s="60" t="n"/>
      <c r="Q17" s="60">
        <f>P17*N17</f>
        <v/>
      </c>
      <c r="R17" s="61" t="inlineStr">
        <is>
          <t>Specs</t>
        </is>
      </c>
    </row>
    <row r="18">
      <c r="A18" s="10" t="inlineStr">
        <is>
          <t>Three Olives Loopy</t>
        </is>
      </c>
      <c r="B18" s="8" t="n"/>
      <c r="C18" s="8" t="inlineStr">
        <is>
          <t>1L</t>
        </is>
      </c>
      <c r="D18" s="8" t="n"/>
      <c r="E18" s="9" t="n">
        <v>0</v>
      </c>
      <c r="F18" s="9">
        <f>D18-E18</f>
        <v/>
      </c>
      <c r="G18" s="60" t="n">
        <v>5</v>
      </c>
      <c r="H18" s="60">
        <f>G18*F18</f>
        <v/>
      </c>
      <c r="I18" s="61" t="inlineStr">
        <is>
          <t>Specs</t>
        </is>
      </c>
      <c r="J18" s="10" t="n"/>
      <c r="K18" s="8" t="n"/>
      <c r="L18" s="8" t="n"/>
      <c r="M18" s="8" t="n"/>
      <c r="N18" s="9" t="n"/>
      <c r="O18" s="9">
        <f>M18-N18</f>
        <v/>
      </c>
      <c r="P18" s="60" t="n"/>
      <c r="Q18" s="60">
        <f>P18*N18</f>
        <v/>
      </c>
      <c r="R18" s="60" t="n"/>
    </row>
    <row r="19">
      <c r="A19" s="10" t="inlineStr">
        <is>
          <t>Jorvik Vodka</t>
        </is>
      </c>
      <c r="B19" s="8" t="n"/>
      <c r="C19" s="8" t="inlineStr">
        <is>
          <t>1L</t>
        </is>
      </c>
      <c r="D19" s="8" t="n"/>
      <c r="E19" s="9" t="n">
        <v>0</v>
      </c>
      <c r="F19" s="9">
        <f>D19-E19</f>
        <v/>
      </c>
      <c r="G19" s="60" t="n">
        <v>19.43</v>
      </c>
      <c r="H19" s="60">
        <f>G19*F19</f>
        <v/>
      </c>
      <c r="I19" s="62" t="inlineStr">
        <is>
          <t>Twin</t>
        </is>
      </c>
      <c r="J19" s="10" t="n"/>
      <c r="K19" s="8" t="n"/>
      <c r="L19" s="8" t="n"/>
      <c r="M19" s="8" t="n"/>
      <c r="N19" s="9" t="n"/>
      <c r="O19" s="9">
        <f>M19-N19</f>
        <v/>
      </c>
      <c r="P19" s="60" t="n"/>
      <c r="Q19" s="60">
        <f>P19*N19</f>
        <v/>
      </c>
      <c r="R19" s="60" t="n"/>
    </row>
    <row r="20">
      <c r="A20" s="10" t="n"/>
      <c r="B20" s="8" t="n"/>
      <c r="C20" s="8" t="n"/>
      <c r="D20" s="8" t="n"/>
      <c r="E20" s="9" t="n"/>
      <c r="F20" s="9" t="n"/>
      <c r="G20" s="60" t="n"/>
      <c r="H20" s="60">
        <f>G20*E20</f>
        <v/>
      </c>
      <c r="I20" s="60" t="n"/>
      <c r="J20" s="10" t="n"/>
      <c r="K20" s="8" t="n"/>
      <c r="L20" s="8" t="n"/>
      <c r="M20" s="8" t="n"/>
      <c r="N20" s="9" t="n"/>
      <c r="O20" s="9">
        <f>M20-N20</f>
        <v/>
      </c>
      <c r="P20" s="60" t="n"/>
      <c r="Q20" s="60">
        <f>P20*N20</f>
        <v/>
      </c>
      <c r="R20" s="60" t="n"/>
    </row>
    <row r="21">
      <c r="A21" s="10" t="n"/>
      <c r="B21" s="8" t="n"/>
      <c r="C21" s="8" t="n"/>
      <c r="D21" s="8" t="n"/>
      <c r="E21" s="9" t="n"/>
      <c r="F21" s="9" t="n"/>
      <c r="G21" s="60" t="n"/>
      <c r="H21" s="60">
        <f>G21*E21</f>
        <v/>
      </c>
      <c r="I21" s="60" t="n"/>
      <c r="J21" s="10" t="n"/>
      <c r="K21" s="8" t="n"/>
      <c r="L21" s="8" t="n"/>
      <c r="M21" s="8" t="n"/>
      <c r="N21" s="9" t="n"/>
      <c r="O21" s="9">
        <f>M21-N21</f>
        <v/>
      </c>
      <c r="P21" s="60" t="n"/>
      <c r="Q21" s="60">
        <f>P21*N21</f>
        <v/>
      </c>
      <c r="R21" s="60" t="n"/>
    </row>
    <row r="22">
      <c r="A22" s="28" t="n"/>
      <c r="B22" s="29" t="n"/>
      <c r="C22" s="29" t="n"/>
      <c r="D22" s="29" t="n"/>
      <c r="E22" s="30" t="n"/>
      <c r="F22" s="30" t="n"/>
      <c r="G22" s="65" t="n"/>
      <c r="H22" s="65" t="n"/>
      <c r="I22" s="65" t="n"/>
      <c r="J22" s="8" t="n"/>
      <c r="K22" s="8" t="n"/>
      <c r="L22" s="8" t="n"/>
      <c r="M22" s="8" t="n"/>
      <c r="N22" s="9" t="n"/>
      <c r="O22" s="9">
        <f>M22-N22</f>
        <v/>
      </c>
      <c r="P22" s="60" t="n"/>
      <c r="Q22" s="60">
        <f>P22*N22</f>
        <v/>
      </c>
      <c r="R22" s="60" t="n"/>
    </row>
    <row r="23" ht="18" customHeight="1">
      <c r="A23" s="32" t="n"/>
      <c r="B23" s="6" t="n"/>
      <c r="C23" s="6" t="n"/>
      <c r="D23" s="6" t="n"/>
      <c r="E23" s="6" t="n"/>
      <c r="F23" s="6" t="n"/>
      <c r="G23" s="6" t="n"/>
      <c r="H23" s="6" t="n"/>
      <c r="I23" s="66" t="n"/>
      <c r="J23" s="25" t="inlineStr">
        <is>
          <t>Gin</t>
        </is>
      </c>
      <c r="K23" s="8" t="n"/>
      <c r="L23" s="8" t="n"/>
      <c r="M23" s="8" t="n"/>
      <c r="N23" s="9" t="n"/>
      <c r="O23" s="9">
        <f>M23-N23</f>
        <v/>
      </c>
      <c r="P23" s="60" t="n"/>
      <c r="Q23" s="60">
        <f>P23*N23</f>
        <v/>
      </c>
      <c r="R23" s="60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10" t="inlineStr">
        <is>
          <t>Tanquery London Dry</t>
        </is>
      </c>
      <c r="K24" s="8" t="n"/>
      <c r="L24" s="8" t="n"/>
      <c r="M24" s="8" t="n"/>
      <c r="N24" s="9" t="n"/>
      <c r="O24" s="9">
        <f>M24-N24</f>
        <v/>
      </c>
      <c r="P24" s="60" t="n">
        <v>26.91</v>
      </c>
      <c r="Q24" s="60">
        <f>P24*N24</f>
        <v/>
      </c>
      <c r="R24" s="61" t="inlineStr">
        <is>
          <t>Specs</t>
        </is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10" t="inlineStr">
        <is>
          <t>Hendricks Gin</t>
        </is>
      </c>
      <c r="K25" s="8" t="n"/>
      <c r="L25" s="8" t="n"/>
      <c r="M25" s="8" t="n"/>
      <c r="N25" s="9" t="n"/>
      <c r="O25" s="9">
        <f>M25-N25</f>
        <v/>
      </c>
      <c r="P25" s="60" t="n">
        <v>28.82</v>
      </c>
      <c r="Q25" s="60">
        <f>P25*N25</f>
        <v/>
      </c>
      <c r="R25" s="62" t="inlineStr">
        <is>
          <t>Twin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10" t="inlineStr">
        <is>
          <t>Condessa Gin</t>
        </is>
      </c>
      <c r="K26" s="8" t="n"/>
      <c r="L26" s="8" t="n"/>
      <c r="M26" s="8" t="n"/>
      <c r="N26" s="9" t="n"/>
      <c r="O26" s="9">
        <f>M26-N26</f>
        <v/>
      </c>
      <c r="P26" s="60" t="n">
        <v>6.06</v>
      </c>
      <c r="Q26" s="60">
        <f>P26*N26</f>
        <v/>
      </c>
      <c r="R26" s="62" t="inlineStr">
        <is>
          <t>Twin</t>
        </is>
      </c>
    </row>
    <row r="27" ht="28.5" customHeight="1">
      <c r="A27" s="25" t="inlineStr">
        <is>
          <t>Rum</t>
        </is>
      </c>
      <c r="B27" s="27" t="inlineStr">
        <is>
          <t>Liquor
Level</t>
        </is>
      </c>
      <c r="C27" s="14" t="inlineStr">
        <is>
          <t>Size</t>
        </is>
      </c>
      <c r="D27" s="14" t="inlineStr">
        <is>
          <t>Par</t>
        </is>
      </c>
      <c r="E27" s="15" t="inlineStr">
        <is>
          <t>On Hand</t>
        </is>
      </c>
      <c r="F27" s="27" t="inlineStr">
        <is>
          <t>Need to Order</t>
        </is>
      </c>
      <c r="G27" s="59" t="inlineStr">
        <is>
          <t>Cost Per Bottle</t>
        </is>
      </c>
      <c r="H27" s="59" t="inlineStr">
        <is>
          <t>Extended Value</t>
        </is>
      </c>
      <c r="I27" s="27" t="inlineStr">
        <is>
          <t>Vendor</t>
        </is>
      </c>
      <c r="J27" s="10" t="inlineStr">
        <is>
          <t>Bombay Sapphire</t>
        </is>
      </c>
      <c r="K27" s="8" t="n"/>
      <c r="L27" s="8" t="n"/>
      <c r="M27" s="8" t="n"/>
      <c r="N27" s="9" t="n">
        <v>0</v>
      </c>
      <c r="O27" s="9">
        <f>M27-N27</f>
        <v/>
      </c>
      <c r="P27" s="60" t="n">
        <v>36.17</v>
      </c>
      <c r="Q27" s="60">
        <f>P27*N27</f>
        <v/>
      </c>
      <c r="R27" s="62" t="inlineStr">
        <is>
          <t>Twin</t>
        </is>
      </c>
    </row>
    <row r="28">
      <c r="A28" s="10" t="inlineStr">
        <is>
          <t>Calypso White Rum</t>
        </is>
      </c>
      <c r="B28" s="8" t="n"/>
      <c r="C28" s="8" t="n"/>
      <c r="D28" s="8" t="n"/>
      <c r="E28" s="9" t="n"/>
      <c r="F28" s="9">
        <f>D28-E28</f>
        <v/>
      </c>
      <c r="G28" s="66" t="n"/>
      <c r="H28" s="60">
        <f>G28*E28</f>
        <v/>
      </c>
      <c r="I28" s="42" t="inlineStr">
        <is>
          <t>Twin</t>
        </is>
      </c>
      <c r="J28" s="10" t="inlineStr">
        <is>
          <t>Empress 1908</t>
        </is>
      </c>
      <c r="K28" s="8" t="n"/>
      <c r="L28" s="8" t="n"/>
      <c r="M28" s="8" t="n"/>
      <c r="N28" s="9" t="n">
        <v>0</v>
      </c>
      <c r="O28" s="9">
        <f>M28-N28</f>
        <v/>
      </c>
      <c r="P28" s="60" t="n">
        <v>38.59</v>
      </c>
      <c r="Q28" s="60">
        <f>P28*N28</f>
        <v/>
      </c>
      <c r="R28" s="61" t="inlineStr">
        <is>
          <t>Specs</t>
        </is>
      </c>
    </row>
    <row r="29">
      <c r="A29" s="10" t="inlineStr">
        <is>
          <t>Calypso Spiced Run</t>
        </is>
      </c>
      <c r="B29" s="8" t="n"/>
      <c r="C29" s="8" t="n"/>
      <c r="D29" s="8" t="n"/>
      <c r="E29" s="9" t="n"/>
      <c r="F29" s="9">
        <f>D29-E29</f>
        <v/>
      </c>
      <c r="G29" s="60" t="n"/>
      <c r="H29" s="60">
        <f>G29*E29</f>
        <v/>
      </c>
      <c r="I29" s="67" t="inlineStr">
        <is>
          <t>Twin</t>
        </is>
      </c>
      <c r="J29" s="10" t="inlineStr">
        <is>
          <t>Empress 0.0</t>
        </is>
      </c>
      <c r="K29" s="8" t="n"/>
      <c r="L29" s="8" t="n"/>
      <c r="M29" s="8" t="n"/>
      <c r="N29" s="9" t="n">
        <v>0</v>
      </c>
      <c r="O29" s="9">
        <f>M29-N29</f>
        <v/>
      </c>
      <c r="P29" s="68" t="n">
        <v>30.3</v>
      </c>
      <c r="Q29" s="60">
        <f>P29*N29</f>
        <v/>
      </c>
      <c r="R29" s="62" t="inlineStr">
        <is>
          <t>Twin</t>
        </is>
      </c>
    </row>
    <row r="30">
      <c r="A30" s="10" t="inlineStr">
        <is>
          <t>Calypso 151 Rum</t>
        </is>
      </c>
      <c r="B30" s="8" t="n"/>
      <c r="C30" s="8" t="n"/>
      <c r="D30" s="8" t="n"/>
      <c r="E30" s="9" t="n"/>
      <c r="F30" s="9">
        <f>D30-E30</f>
        <v/>
      </c>
      <c r="G30" s="60" t="n"/>
      <c r="H30" s="60">
        <f>G30*E30</f>
        <v/>
      </c>
      <c r="I30" s="67" t="inlineStr">
        <is>
          <t>Twin</t>
        </is>
      </c>
      <c r="J30" s="10" t="n"/>
      <c r="K30" s="8" t="n"/>
      <c r="L30" s="8" t="n"/>
      <c r="M30" s="8" t="n"/>
      <c r="N30" s="9" t="n"/>
      <c r="O30" s="9">
        <f>M30-N30</f>
        <v/>
      </c>
      <c r="P30" s="60" t="n"/>
      <c r="Q30" s="60">
        <f>P30*N30</f>
        <v/>
      </c>
      <c r="R30" s="60" t="n"/>
    </row>
    <row r="31">
      <c r="A31" s="10" t="inlineStr">
        <is>
          <t>Calypso Coconut Rum</t>
        </is>
      </c>
      <c r="B31" s="8" t="n"/>
      <c r="C31" s="8" t="n"/>
      <c r="D31" s="8" t="n"/>
      <c r="E31" s="9" t="n"/>
      <c r="F31" s="9">
        <f>D31-E31</f>
        <v/>
      </c>
      <c r="G31" s="60" t="n"/>
      <c r="H31" s="60">
        <f>G31*E31</f>
        <v/>
      </c>
      <c r="I31" s="62" t="inlineStr">
        <is>
          <t>Twin</t>
        </is>
      </c>
      <c r="J31" s="6" t="n"/>
      <c r="K31" s="6" t="n"/>
      <c r="L31" s="6" t="n"/>
      <c r="M31" s="6" t="n"/>
      <c r="N31" s="33" t="n"/>
      <c r="O31" s="33" t="n"/>
      <c r="P31" s="66" t="n"/>
      <c r="Q31" s="66" t="n"/>
      <c r="R31" s="66" t="n"/>
    </row>
    <row r="32">
      <c r="A32" s="10" t="inlineStr">
        <is>
          <t>Bacardi Silver</t>
        </is>
      </c>
      <c r="B32" s="8" t="n"/>
      <c r="C32" s="8" t="n"/>
      <c r="D32" s="8" t="n"/>
      <c r="E32" s="9" t="n">
        <v>0</v>
      </c>
      <c r="F32" s="9">
        <f>D32-E32</f>
        <v/>
      </c>
      <c r="G32" s="60" t="n"/>
      <c r="H32" s="60">
        <f>G32*E32</f>
        <v/>
      </c>
      <c r="I32" s="61" t="inlineStr">
        <is>
          <t>Specs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 ht="28.5" customHeight="1">
      <c r="A33" s="10" t="inlineStr">
        <is>
          <t>Malibu</t>
        </is>
      </c>
      <c r="B33" s="8" t="n"/>
      <c r="C33" s="8" t="n"/>
      <c r="D33" s="8" t="n"/>
      <c r="E33" s="9" t="n">
        <v>0</v>
      </c>
      <c r="F33" s="9">
        <f>D33-E33</f>
        <v/>
      </c>
      <c r="G33" s="60" t="n"/>
      <c r="H33" s="60">
        <f>G33*E33</f>
        <v/>
      </c>
      <c r="I33" s="61" t="inlineStr">
        <is>
          <t>Specs</t>
        </is>
      </c>
      <c r="J33" s="25" t="inlineStr">
        <is>
          <t>Wine</t>
        </is>
      </c>
      <c r="K33" s="27" t="inlineStr">
        <is>
          <t>Liquor
Level</t>
        </is>
      </c>
      <c r="L33" s="14" t="inlineStr">
        <is>
          <t>Size</t>
        </is>
      </c>
      <c r="M33" s="14" t="inlineStr">
        <is>
          <t>Par</t>
        </is>
      </c>
      <c r="N33" s="15" t="inlineStr">
        <is>
          <t>On Hand</t>
        </is>
      </c>
      <c r="O33" s="27" t="inlineStr">
        <is>
          <t>Need to Order</t>
        </is>
      </c>
      <c r="P33" s="59" t="inlineStr">
        <is>
          <t>Cost Per Bottle</t>
        </is>
      </c>
      <c r="Q33" s="59" t="inlineStr">
        <is>
          <t>Extended Value</t>
        </is>
      </c>
      <c r="R33" s="59" t="inlineStr">
        <is>
          <t>Vendor</t>
        </is>
      </c>
    </row>
    <row r="34">
      <c r="A34" s="10" t="inlineStr">
        <is>
          <t>Diplamatico</t>
        </is>
      </c>
      <c r="B34" s="8" t="n"/>
      <c r="C34" s="8" t="n"/>
      <c r="D34" s="8" t="n"/>
      <c r="E34" s="9" t="n"/>
      <c r="F34" s="9">
        <f>D34-E34</f>
        <v/>
      </c>
      <c r="G34" s="60" t="n"/>
      <c r="H34" s="60">
        <f>G34*E34</f>
        <v/>
      </c>
      <c r="I34" s="61" t="inlineStr">
        <is>
          <t>Specs</t>
        </is>
      </c>
      <c r="J34" s="10" t="inlineStr">
        <is>
          <t>Canyon Road Chard</t>
        </is>
      </c>
      <c r="K34" s="8" t="inlineStr">
        <is>
          <t>Well</t>
        </is>
      </c>
      <c r="L34" s="8" t="inlineStr">
        <is>
          <t>750ML</t>
        </is>
      </c>
      <c r="M34" s="8" t="n"/>
      <c r="N34" s="9" t="n"/>
      <c r="O34" s="9">
        <f>M34-N34</f>
        <v/>
      </c>
      <c r="P34" s="69" t="n">
        <v>0</v>
      </c>
      <c r="Q34" s="60">
        <f>P34*N34</f>
        <v/>
      </c>
      <c r="R34" s="70" t="inlineStr">
        <is>
          <t>Southern</t>
        </is>
      </c>
    </row>
    <row r="35">
      <c r="A35" s="8" t="inlineStr">
        <is>
          <t>Captain Morgan Spiced Rum</t>
        </is>
      </c>
      <c r="B35" s="8" t="n"/>
      <c r="C35" s="8" t="n"/>
      <c r="D35" s="8" t="n"/>
      <c r="E35" s="9" t="n"/>
      <c r="F35" s="9" t="n"/>
      <c r="G35" s="60" t="n"/>
      <c r="H35" s="60" t="n"/>
      <c r="I35" s="60" t="n"/>
      <c r="J35" s="10" t="inlineStr">
        <is>
          <t>Canyon Road Sauv Blanc</t>
        </is>
      </c>
      <c r="K35" s="8" t="inlineStr">
        <is>
          <t>Well</t>
        </is>
      </c>
      <c r="L35" s="8" t="inlineStr">
        <is>
          <t>750ML</t>
        </is>
      </c>
      <c r="M35" s="8" t="n"/>
      <c r="N35" s="9" t="n"/>
      <c r="O35" s="9">
        <f>M35-N35</f>
        <v/>
      </c>
      <c r="P35" s="69" t="n">
        <v>0</v>
      </c>
      <c r="Q35" s="60">
        <f>P35*N35</f>
        <v/>
      </c>
      <c r="R35" s="70" t="inlineStr">
        <is>
          <t>Southern</t>
        </is>
      </c>
    </row>
    <row r="36" ht="18" customHeight="1">
      <c r="A36" s="25" t="inlineStr">
        <is>
          <t>Whiskey</t>
        </is>
      </c>
      <c r="B36" s="8" t="n"/>
      <c r="C36" s="8" t="n"/>
      <c r="D36" s="8" t="n"/>
      <c r="E36" s="9" t="n"/>
      <c r="F36" s="8" t="n"/>
      <c r="G36" s="60" t="n"/>
      <c r="H36" s="60">
        <f>G36*E36</f>
        <v/>
      </c>
      <c r="I36" s="60" t="n"/>
      <c r="J36" s="10" t="inlineStr">
        <is>
          <t>Canyon Road Merlot</t>
        </is>
      </c>
      <c r="K36" s="8" t="inlineStr">
        <is>
          <t>Well</t>
        </is>
      </c>
      <c r="L36" s="8" t="inlineStr">
        <is>
          <t>750ML</t>
        </is>
      </c>
      <c r="M36" s="8" t="n"/>
      <c r="N36" s="9" t="n"/>
      <c r="O36" s="9">
        <f>M36-N36</f>
        <v/>
      </c>
      <c r="P36" s="69" t="n">
        <v>0</v>
      </c>
      <c r="Q36" s="60">
        <f>P36*N36</f>
        <v/>
      </c>
      <c r="R36" s="70" t="inlineStr">
        <is>
          <t>Southern</t>
        </is>
      </c>
    </row>
    <row r="37">
      <c r="A37" s="10" t="inlineStr">
        <is>
          <t>Buffalo Trace</t>
        </is>
      </c>
      <c r="B37" s="8" t="n"/>
      <c r="C37" s="8" t="n"/>
      <c r="D37" s="8" t="n"/>
      <c r="E37" s="9" t="n">
        <v>0</v>
      </c>
      <c r="F37" s="9">
        <f>D37-E37</f>
        <v/>
      </c>
      <c r="G37" s="60" t="n"/>
      <c r="H37" s="60">
        <f>G37*E37</f>
        <v/>
      </c>
      <c r="I37" s="61" t="inlineStr">
        <is>
          <t>Specs</t>
        </is>
      </c>
      <c r="J37" s="22" t="inlineStr">
        <is>
          <t>Canyon Road Pinot Noir</t>
        </is>
      </c>
      <c r="K37" s="8" t="inlineStr">
        <is>
          <t>Well</t>
        </is>
      </c>
      <c r="L37" s="8" t="inlineStr">
        <is>
          <t>750ML</t>
        </is>
      </c>
      <c r="M37" s="8" t="n"/>
      <c r="N37" s="9" t="n"/>
      <c r="O37" s="9">
        <f>M37-N37</f>
        <v/>
      </c>
      <c r="P37" s="69" t="n">
        <v>0</v>
      </c>
      <c r="Q37" s="60">
        <f>P37*N37</f>
        <v/>
      </c>
      <c r="R37" s="70" t="inlineStr">
        <is>
          <t>Southern</t>
        </is>
      </c>
    </row>
    <row r="38">
      <c r="A38" s="10" t="inlineStr">
        <is>
          <t>Woodford Reserve</t>
        </is>
      </c>
      <c r="B38" s="8" t="n"/>
      <c r="C38" s="8" t="n"/>
      <c r="D38" s="8" t="n"/>
      <c r="E38" s="9" t="n">
        <v>0</v>
      </c>
      <c r="F38" s="9">
        <f>D38-E38</f>
        <v/>
      </c>
      <c r="G38" s="60" t="n"/>
      <c r="H38" s="60">
        <f>G38*E38</f>
        <v/>
      </c>
      <c r="I38" s="61" t="inlineStr">
        <is>
          <t>Specs</t>
        </is>
      </c>
      <c r="J38" s="10" t="inlineStr">
        <is>
          <t>Canyon Road Cab Sauv</t>
        </is>
      </c>
      <c r="K38" s="8" t="inlineStr">
        <is>
          <t>Well</t>
        </is>
      </c>
      <c r="L38" s="8" t="inlineStr">
        <is>
          <t>750ML</t>
        </is>
      </c>
      <c r="M38" s="8" t="n"/>
      <c r="N38" s="9" t="n"/>
      <c r="O38" s="9">
        <f>M38-N38</f>
        <v/>
      </c>
      <c r="P38" s="69" t="n">
        <v>0</v>
      </c>
      <c r="Q38" s="60">
        <f>P38*N38</f>
        <v/>
      </c>
      <c r="R38" s="70" t="inlineStr">
        <is>
          <t>Southern</t>
        </is>
      </c>
    </row>
    <row r="39">
      <c r="A39" s="10" t="inlineStr">
        <is>
          <t>Jefferson Ocean</t>
        </is>
      </c>
      <c r="B39" s="8" t="n"/>
      <c r="C39" s="8" t="n"/>
      <c r="D39" s="8" t="n"/>
      <c r="E39" s="8" t="n"/>
      <c r="F39" s="9">
        <f>D39-E39</f>
        <v/>
      </c>
      <c r="G39" s="60" t="n"/>
      <c r="H39" s="60">
        <f>G39*E39</f>
        <v/>
      </c>
      <c r="I39" s="61" t="inlineStr">
        <is>
          <t>Specs</t>
        </is>
      </c>
      <c r="J39" s="10" t="inlineStr">
        <is>
          <t>Canyon Road Pinot Gris</t>
        </is>
      </c>
      <c r="K39" s="8" t="inlineStr">
        <is>
          <t>Well</t>
        </is>
      </c>
      <c r="L39" s="8" t="inlineStr">
        <is>
          <t>750ML</t>
        </is>
      </c>
      <c r="M39" s="8" t="n"/>
      <c r="N39" s="9" t="n"/>
      <c r="O39" s="9">
        <f>M39-N39</f>
        <v/>
      </c>
      <c r="P39" s="69" t="n">
        <v>0</v>
      </c>
      <c r="Q39" s="60">
        <f>P39*N39</f>
        <v/>
      </c>
      <c r="R39" s="70" t="inlineStr">
        <is>
          <t>Southern</t>
        </is>
      </c>
    </row>
    <row r="40">
      <c r="A40" s="10" t="inlineStr">
        <is>
          <t>Toki Japanese Whisky</t>
        </is>
      </c>
      <c r="B40" s="8" t="n"/>
      <c r="C40" s="8" t="n"/>
      <c r="D40" s="8" t="n"/>
      <c r="E40" s="8" t="n">
        <v>0</v>
      </c>
      <c r="F40" s="9">
        <f>D40-E40</f>
        <v/>
      </c>
      <c r="G40" s="60" t="n"/>
      <c r="H40" s="60">
        <f>G40*E40</f>
        <v/>
      </c>
      <c r="I40" s="61" t="inlineStr">
        <is>
          <t>Specs</t>
        </is>
      </c>
      <c r="J40" s="10" t="inlineStr">
        <is>
          <t>Wycliff Brut</t>
        </is>
      </c>
      <c r="K40" s="8" t="inlineStr">
        <is>
          <t>Well</t>
        </is>
      </c>
      <c r="L40" s="8" t="inlineStr">
        <is>
          <t>750ML</t>
        </is>
      </c>
      <c r="M40" s="8" t="n"/>
      <c r="N40" s="9" t="n"/>
      <c r="O40" s="9">
        <f>M40-N40</f>
        <v/>
      </c>
      <c r="P40" s="69" t="n">
        <v>0</v>
      </c>
      <c r="Q40" s="60">
        <f>P40*N40</f>
        <v/>
      </c>
      <c r="R40" s="70" t="inlineStr">
        <is>
          <t>Southern</t>
        </is>
      </c>
    </row>
    <row r="41">
      <c r="A41" s="10" t="inlineStr">
        <is>
          <t>Sazerac Rye</t>
        </is>
      </c>
      <c r="B41" s="8" t="n"/>
      <c r="C41" s="8" t="n"/>
      <c r="D41" s="8" t="n"/>
      <c r="E41" s="8" t="n">
        <v>0</v>
      </c>
      <c r="F41" s="9">
        <f>D41-E41</f>
        <v/>
      </c>
      <c r="G41" s="60" t="n"/>
      <c r="H41" s="60">
        <f>G41*E41</f>
        <v/>
      </c>
      <c r="I41" s="61" t="inlineStr">
        <is>
          <t>Specs</t>
        </is>
      </c>
      <c r="J41" s="8" t="n"/>
      <c r="K41" s="8" t="n"/>
      <c r="L41" s="8" t="n"/>
      <c r="M41" s="8" t="n"/>
      <c r="N41" s="9" t="n"/>
      <c r="O41" s="9">
        <f>M41-N41</f>
        <v/>
      </c>
      <c r="P41" s="69" t="n">
        <v>0</v>
      </c>
      <c r="Q41" s="60">
        <f>P41*N41</f>
        <v/>
      </c>
      <c r="R41" s="70" t="inlineStr">
        <is>
          <t>Southern</t>
        </is>
      </c>
    </row>
    <row r="42">
      <c r="A42" s="10" t="inlineStr">
        <is>
          <t>Whistle Pig 12 Year Rye</t>
        </is>
      </c>
      <c r="B42" s="8" t="n"/>
      <c r="C42" s="8" t="n"/>
      <c r="D42" s="8" t="n"/>
      <c r="E42" s="8" t="n"/>
      <c r="F42" s="9">
        <f>D42-E42</f>
        <v/>
      </c>
      <c r="G42" s="60" t="n"/>
      <c r="H42" s="60">
        <f>G42*E42</f>
        <v/>
      </c>
      <c r="I42" s="61" t="inlineStr">
        <is>
          <t>Specs</t>
        </is>
      </c>
      <c r="J42" s="8" t="n"/>
      <c r="K42" s="8" t="n"/>
      <c r="L42" s="8" t="n"/>
      <c r="M42" s="8" t="n"/>
      <c r="N42" s="9" t="n"/>
      <c r="O42" s="9">
        <f>M42-N42</f>
        <v/>
      </c>
      <c r="P42" s="69" t="n"/>
      <c r="Q42" s="60" t="n"/>
      <c r="R42" s="71" t="n"/>
    </row>
    <row r="43" ht="18" customHeight="1">
      <c r="A43" s="10" t="inlineStr">
        <is>
          <t>Dewars White Label</t>
        </is>
      </c>
      <c r="B43" s="8" t="n"/>
      <c r="C43" s="8" t="n"/>
      <c r="D43" s="8" t="n"/>
      <c r="E43" s="8" t="n"/>
      <c r="F43" s="9">
        <f>D43-E43</f>
        <v/>
      </c>
      <c r="G43" s="60" t="n"/>
      <c r="H43" s="60">
        <f>G43*E43</f>
        <v/>
      </c>
      <c r="I43" s="62" t="inlineStr">
        <is>
          <t>Twin</t>
        </is>
      </c>
      <c r="J43" s="25" t="inlineStr">
        <is>
          <t>Cordials</t>
        </is>
      </c>
      <c r="K43" s="8" t="n"/>
      <c r="L43" s="8" t="n"/>
      <c r="M43" s="8" t="n"/>
      <c r="N43" s="9" t="n"/>
      <c r="O43" s="9">
        <f>M43-N43</f>
        <v/>
      </c>
      <c r="P43" s="60" t="n"/>
      <c r="Q43" s="60">
        <f>P43*N43</f>
        <v/>
      </c>
      <c r="R43" s="60" t="n"/>
    </row>
    <row r="44">
      <c r="A44" s="10" t="inlineStr">
        <is>
          <t>Jameson Irish Whiskey</t>
        </is>
      </c>
      <c r="B44" s="8" t="n"/>
      <c r="C44" s="8" t="n"/>
      <c r="D44" s="8" t="n"/>
      <c r="E44" s="8" t="n">
        <v>0</v>
      </c>
      <c r="F44" s="9">
        <f>D44-E44</f>
        <v/>
      </c>
      <c r="G44" s="60" t="n"/>
      <c r="H44" s="60">
        <f>G44*E44</f>
        <v/>
      </c>
      <c r="I44" s="61" t="inlineStr">
        <is>
          <t>Specs</t>
        </is>
      </c>
      <c r="J44" s="10" t="inlineStr">
        <is>
          <t>Aperol Liqeur</t>
        </is>
      </c>
      <c r="K44" s="8" t="inlineStr">
        <is>
          <t>Premium</t>
        </is>
      </c>
      <c r="L44" s="8" t="inlineStr">
        <is>
          <t>1L</t>
        </is>
      </c>
      <c r="M44" s="8" t="n"/>
      <c r="N44" s="9" t="n"/>
      <c r="O44" s="9">
        <f>M44-N44</f>
        <v/>
      </c>
      <c r="P44" s="60" t="n">
        <v>27.75</v>
      </c>
      <c r="Q44" s="60">
        <f>P44*N44</f>
        <v/>
      </c>
      <c r="R44" s="62" t="inlineStr">
        <is>
          <t>Twin</t>
        </is>
      </c>
    </row>
    <row r="45">
      <c r="A45" s="10" t="inlineStr">
        <is>
          <t>Jameson Orange Irish Whiskey</t>
        </is>
      </c>
      <c r="B45" s="8" t="n"/>
      <c r="C45" s="8" t="n"/>
      <c r="D45" s="8" t="n"/>
      <c r="E45" s="8" t="n">
        <v>0</v>
      </c>
      <c r="F45" s="9">
        <f>D45-E45</f>
        <v/>
      </c>
      <c r="G45" s="60" t="n"/>
      <c r="H45" s="60">
        <f>G45*E45</f>
        <v/>
      </c>
      <c r="I45" s="61" t="inlineStr">
        <is>
          <t>Specs</t>
        </is>
      </c>
      <c r="J45" s="10" t="inlineStr">
        <is>
          <t>Campari</t>
        </is>
      </c>
      <c r="K45" s="8" t="inlineStr">
        <is>
          <t>Super Premium</t>
        </is>
      </c>
      <c r="L45" s="8" t="inlineStr">
        <is>
          <t>1L</t>
        </is>
      </c>
      <c r="M45" s="8" t="n"/>
      <c r="N45" s="9" t="n">
        <v>0</v>
      </c>
      <c r="O45" s="9">
        <f>M45-N45</f>
        <v/>
      </c>
      <c r="P45" s="60" t="n">
        <v>32.3</v>
      </c>
      <c r="Q45" s="60">
        <f>P45*N45</f>
        <v/>
      </c>
      <c r="R45" s="62" t="inlineStr">
        <is>
          <t>Twin</t>
        </is>
      </c>
      <c r="S45" t="inlineStr">
        <is>
          <t> </t>
        </is>
      </c>
    </row>
    <row r="46">
      <c r="A46" s="10" t="inlineStr">
        <is>
          <t>Makers Mark</t>
        </is>
      </c>
      <c r="B46" s="8" t="n"/>
      <c r="C46" s="8" t="n"/>
      <c r="D46" s="8" t="n"/>
      <c r="E46" s="8" t="n">
        <v>0</v>
      </c>
      <c r="F46" s="9">
        <f>D46-E46</f>
        <v/>
      </c>
      <c r="G46" s="60" t="n"/>
      <c r="H46" s="60">
        <f>G46*E46</f>
        <v/>
      </c>
      <c r="I46" s="61" t="inlineStr">
        <is>
          <t>Specs</t>
        </is>
      </c>
      <c r="J46" s="10" t="inlineStr">
        <is>
          <t>Baileys Irish Cream</t>
        </is>
      </c>
      <c r="K46" s="8" t="inlineStr">
        <is>
          <t>Super Premium</t>
        </is>
      </c>
      <c r="L46" s="8" t="inlineStr">
        <is>
          <t>1L</t>
        </is>
      </c>
      <c r="M46" s="8" t="n"/>
      <c r="N46" s="9" t="n"/>
      <c r="O46" s="9">
        <f>M46-N46</f>
        <v/>
      </c>
      <c r="P46" s="60" t="n">
        <v>33.32</v>
      </c>
      <c r="Q46" s="60">
        <f>P46*N46</f>
        <v/>
      </c>
      <c r="R46" s="62" t="inlineStr">
        <is>
          <t>Twin</t>
        </is>
      </c>
    </row>
    <row r="47">
      <c r="A47" s="10" t="inlineStr">
        <is>
          <t>Crown Royal</t>
        </is>
      </c>
      <c r="B47" s="8" t="n"/>
      <c r="C47" s="8" t="n"/>
      <c r="D47" s="8" t="n"/>
      <c r="E47" s="8" t="n">
        <v>0</v>
      </c>
      <c r="F47" s="9">
        <f>D47-E47</f>
        <v/>
      </c>
      <c r="G47" s="60" t="n"/>
      <c r="H47" s="60">
        <f>G47*E47</f>
        <v/>
      </c>
      <c r="I47" s="61" t="inlineStr">
        <is>
          <t>Specs</t>
        </is>
      </c>
      <c r="J47" s="10" t="inlineStr">
        <is>
          <t>Pama Pomagrante Liquer</t>
        </is>
      </c>
      <c r="K47" s="8" t="inlineStr">
        <is>
          <t>Premium</t>
        </is>
      </c>
      <c r="L47" s="8" t="inlineStr">
        <is>
          <t>750ML</t>
        </is>
      </c>
      <c r="M47" s="8" t="n"/>
      <c r="N47" s="9" t="n"/>
      <c r="O47" s="9">
        <f>M47-N47</f>
        <v/>
      </c>
      <c r="P47" s="60" t="n">
        <v>26.14</v>
      </c>
      <c r="Q47" s="60">
        <f>P47*N47</f>
        <v/>
      </c>
      <c r="R47" s="62" t="inlineStr">
        <is>
          <t>Twin</t>
        </is>
      </c>
    </row>
    <row r="48">
      <c r="A48" s="10" t="inlineStr">
        <is>
          <t>Crown Royal Regal Apple</t>
        </is>
      </c>
      <c r="B48" s="8" t="n"/>
      <c r="C48" s="8" t="n"/>
      <c r="D48" s="8" t="n"/>
      <c r="E48" s="8" t="n">
        <v>0</v>
      </c>
      <c r="F48" s="9">
        <f>D48-E48</f>
        <v/>
      </c>
      <c r="G48" s="60" t="n"/>
      <c r="H48" s="60">
        <f>G48*E48</f>
        <v/>
      </c>
      <c r="I48" s="61" t="inlineStr">
        <is>
          <t>Specs</t>
        </is>
      </c>
      <c r="J48" s="10" t="inlineStr">
        <is>
          <t>Cointreau Liquer</t>
        </is>
      </c>
      <c r="K48" s="8" t="inlineStr">
        <is>
          <t>Super Premium</t>
        </is>
      </c>
      <c r="L48" s="8" t="inlineStr">
        <is>
          <t>1L</t>
        </is>
      </c>
      <c r="M48" s="8" t="n"/>
      <c r="N48" s="9" t="n"/>
      <c r="O48" s="9">
        <f>M48-N48</f>
        <v/>
      </c>
      <c r="P48" s="60" t="n">
        <v>33.19</v>
      </c>
      <c r="Q48" s="60">
        <f>P48*N48</f>
        <v/>
      </c>
      <c r="R48" s="62" t="inlineStr">
        <is>
          <t>Twin</t>
        </is>
      </c>
    </row>
    <row r="49">
      <c r="A49" s="10" t="inlineStr">
        <is>
          <t>Hennesey</t>
        </is>
      </c>
      <c r="B49" s="8" t="n"/>
      <c r="C49" s="8" t="n"/>
      <c r="D49" s="8" t="n"/>
      <c r="E49" s="8" t="n"/>
      <c r="F49" s="9">
        <f>D49-E49</f>
        <v/>
      </c>
      <c r="G49" s="60" t="n"/>
      <c r="H49" s="60">
        <f>G49*E49</f>
        <v/>
      </c>
      <c r="I49" s="61" t="inlineStr">
        <is>
          <t>Specs</t>
        </is>
      </c>
      <c r="J49" s="20" t="n"/>
      <c r="K49" s="12" t="n"/>
      <c r="L49" s="12" t="n"/>
      <c r="M49" s="12" t="n"/>
      <c r="N49" s="9" t="n"/>
      <c r="O49" s="9">
        <f>M49-N49</f>
        <v/>
      </c>
      <c r="P49" s="60" t="n">
        <v>4.69</v>
      </c>
      <c r="Q49" s="60">
        <f>P49*N49</f>
        <v/>
      </c>
      <c r="R49" s="61" t="inlineStr">
        <is>
          <t>Spec's</t>
        </is>
      </c>
    </row>
    <row r="50">
      <c r="A50" s="10" t="inlineStr">
        <is>
          <t>Dewars White Label</t>
        </is>
      </c>
      <c r="B50" s="8" t="n"/>
      <c r="C50" s="8" t="n"/>
      <c r="D50" s="8" t="n"/>
      <c r="E50" s="8" t="n"/>
      <c r="F50" s="9">
        <f>D50-E50</f>
        <v/>
      </c>
      <c r="G50" s="60" t="n"/>
      <c r="H50" s="60">
        <f>G50*E50</f>
        <v/>
      </c>
      <c r="I50" s="62" t="inlineStr">
        <is>
          <t>Twin</t>
        </is>
      </c>
      <c r="J50" s="10" t="inlineStr">
        <is>
          <t>E&amp;J Brandy</t>
        </is>
      </c>
      <c r="K50" s="8" t="inlineStr">
        <is>
          <t>Call</t>
        </is>
      </c>
      <c r="L50" s="8" t="inlineStr">
        <is>
          <t>1L</t>
        </is>
      </c>
      <c r="M50" s="8" t="n"/>
      <c r="N50" s="9" t="n">
        <v>0</v>
      </c>
      <c r="O50" s="9">
        <f>M50-N50</f>
        <v/>
      </c>
      <c r="P50" s="60" t="n">
        <v>11.41</v>
      </c>
      <c r="Q50" s="60">
        <f>P50*N50</f>
        <v/>
      </c>
      <c r="R50" s="61" t="inlineStr">
        <is>
          <t>Spec's</t>
        </is>
      </c>
    </row>
    <row r="51">
      <c r="A51" s="10" t="inlineStr">
        <is>
          <t>Johnnie Walker Black</t>
        </is>
      </c>
      <c r="B51" s="8" t="n"/>
      <c r="C51" s="8" t="n"/>
      <c r="D51" s="8" t="n"/>
      <c r="E51" s="8" t="n">
        <v>0</v>
      </c>
      <c r="F51" s="9">
        <f>D51-E51</f>
        <v/>
      </c>
      <c r="G51" s="60" t="n"/>
      <c r="H51" s="60">
        <f>G51*E51</f>
        <v/>
      </c>
      <c r="I51" s="62" t="inlineStr">
        <is>
          <t>Twin</t>
        </is>
      </c>
      <c r="J51" s="10" t="inlineStr">
        <is>
          <t>Fireball</t>
        </is>
      </c>
      <c r="K51" s="8" t="inlineStr">
        <is>
          <t>Call</t>
        </is>
      </c>
      <c r="L51" s="8" t="inlineStr">
        <is>
          <t>1L</t>
        </is>
      </c>
      <c r="M51" s="8" t="n"/>
      <c r="N51" s="9" t="n"/>
      <c r="O51" s="9">
        <f>M51-N51</f>
        <v/>
      </c>
      <c r="P51" s="60" t="n">
        <v>16.68</v>
      </c>
      <c r="Q51" s="60">
        <f>P51*N51</f>
        <v/>
      </c>
      <c r="R51" s="62" t="inlineStr">
        <is>
          <t>Twin</t>
        </is>
      </c>
    </row>
    <row r="52">
      <c r="A52" s="10" t="inlineStr">
        <is>
          <t>Johnnie Walker Red Label</t>
        </is>
      </c>
      <c r="B52" s="8" t="n"/>
      <c r="C52" s="8" t="n"/>
      <c r="D52" s="8" t="n"/>
      <c r="E52" s="8" t="n">
        <v>0</v>
      </c>
      <c r="F52" s="9">
        <f>D52-E52</f>
        <v/>
      </c>
      <c r="G52" s="60" t="n"/>
      <c r="H52" s="60">
        <f>G52*E52</f>
        <v/>
      </c>
      <c r="I52" s="61" t="inlineStr">
        <is>
          <t>Specs</t>
        </is>
      </c>
      <c r="J52" s="10" t="inlineStr">
        <is>
          <t>Grand Marnier</t>
        </is>
      </c>
      <c r="K52" s="8" t="inlineStr">
        <is>
          <t>Super Premium</t>
        </is>
      </c>
      <c r="L52" s="8" t="inlineStr">
        <is>
          <t>1L</t>
        </is>
      </c>
      <c r="M52" s="8" t="n"/>
      <c r="N52" s="9" t="n"/>
      <c r="O52" s="9">
        <f>M52-N52</f>
        <v/>
      </c>
      <c r="P52" s="60" t="n">
        <v>35.51</v>
      </c>
      <c r="Q52" s="60">
        <f>P52*N52</f>
        <v/>
      </c>
      <c r="R52" s="61" t="inlineStr">
        <is>
          <t>Spec's</t>
        </is>
      </c>
    </row>
    <row r="53">
      <c r="A53" s="10" t="inlineStr">
        <is>
          <t xml:space="preserve">Laphorig </t>
        </is>
      </c>
      <c r="B53" s="8" t="n"/>
      <c r="C53" s="8" t="n"/>
      <c r="D53" s="8" t="n"/>
      <c r="E53" s="8" t="n">
        <v>0</v>
      </c>
      <c r="F53" s="9">
        <f>D53-E53</f>
        <v/>
      </c>
      <c r="G53" s="60" t="n"/>
      <c r="H53" s="60">
        <f>G53*E53</f>
        <v/>
      </c>
      <c r="I53" s="62" t="inlineStr">
        <is>
          <t>Twin</t>
        </is>
      </c>
      <c r="J53" s="10" t="inlineStr">
        <is>
          <t>Malort</t>
        </is>
      </c>
      <c r="K53" s="8" t="inlineStr">
        <is>
          <t>Premium</t>
        </is>
      </c>
      <c r="L53" s="8" t="inlineStr">
        <is>
          <t>1L</t>
        </is>
      </c>
      <c r="M53" s="8" t="n"/>
      <c r="N53" s="9" t="n">
        <v>0</v>
      </c>
      <c r="O53" s="9">
        <f>M53-N53</f>
        <v/>
      </c>
      <c r="P53" s="60" t="n">
        <v>23.81</v>
      </c>
      <c r="Q53" s="60">
        <f>P53*N53</f>
        <v/>
      </c>
      <c r="R53" s="62" t="inlineStr">
        <is>
          <t>Twin</t>
        </is>
      </c>
    </row>
    <row r="54">
      <c r="A54" s="10" t="n"/>
      <c r="B54" s="8" t="n"/>
      <c r="C54" s="12" t="n"/>
      <c r="D54" s="12" t="n"/>
      <c r="E54" s="8" t="n"/>
      <c r="F54" s="9">
        <f>D54-E54</f>
        <v/>
      </c>
      <c r="G54" s="60" t="n"/>
      <c r="H54" s="60">
        <f>G54*E54</f>
        <v/>
      </c>
      <c r="I54" s="61" t="inlineStr">
        <is>
          <t>Spec's</t>
        </is>
      </c>
      <c r="J54" s="10" t="inlineStr">
        <is>
          <t>Mr Boston Blue Curauco</t>
        </is>
      </c>
      <c r="K54" s="8" t="inlineStr">
        <is>
          <t>Well</t>
        </is>
      </c>
      <c r="L54" s="8" t="inlineStr">
        <is>
          <t>1L</t>
        </is>
      </c>
      <c r="M54" s="8" t="n"/>
      <c r="N54" s="9" t="n"/>
      <c r="O54" s="9">
        <f>M54-N54</f>
        <v/>
      </c>
      <c r="P54" s="60" t="n">
        <v>4.69</v>
      </c>
      <c r="Q54" s="60">
        <f>P54*N54</f>
        <v/>
      </c>
      <c r="R54" s="61" t="inlineStr">
        <is>
          <t>Spec's</t>
        </is>
      </c>
    </row>
    <row r="55">
      <c r="A55" s="10" t="n"/>
      <c r="B55" s="8" t="n"/>
      <c r="C55" s="8" t="n"/>
      <c r="D55" s="8" t="n"/>
      <c r="E55" s="8" t="n"/>
      <c r="F55" s="9">
        <f>D55-E55</f>
        <v/>
      </c>
      <c r="G55" s="60" t="n"/>
      <c r="H55" s="60">
        <f>G55*E55</f>
        <v/>
      </c>
      <c r="I55" s="60" t="n"/>
      <c r="J55" s="10" t="inlineStr">
        <is>
          <t>Mr Boston  Amaretto</t>
        </is>
      </c>
      <c r="K55" s="8" t="inlineStr">
        <is>
          <t>Well</t>
        </is>
      </c>
      <c r="L55" s="8" t="inlineStr">
        <is>
          <t>1L</t>
        </is>
      </c>
      <c r="M55" s="8" t="n"/>
      <c r="N55" s="9" t="n"/>
      <c r="O55" s="9">
        <f>M55-N55</f>
        <v/>
      </c>
      <c r="P55" s="60" t="n">
        <v>4.75</v>
      </c>
      <c r="Q55" s="60">
        <f>P55*N55</f>
        <v/>
      </c>
      <c r="R55" s="61" t="inlineStr">
        <is>
          <t>Spec's</t>
        </is>
      </c>
    </row>
    <row r="56">
      <c r="A56" s="10" t="n"/>
      <c r="B56" s="8" t="n"/>
      <c r="C56" s="8" t="n"/>
      <c r="D56" s="8" t="n"/>
      <c r="E56" s="8" t="n"/>
      <c r="F56" s="9">
        <f>D56-E56</f>
        <v/>
      </c>
      <c r="G56" s="60" t="n"/>
      <c r="H56" s="60">
        <f>G56*E56</f>
        <v/>
      </c>
      <c r="I56" s="60" t="n"/>
      <c r="J56" s="10" t="inlineStr">
        <is>
          <t>Mr Boston Peach Schnapps</t>
        </is>
      </c>
      <c r="K56" s="8" t="inlineStr">
        <is>
          <t>Well</t>
        </is>
      </c>
      <c r="L56" s="8" t="inlineStr">
        <is>
          <t>1L</t>
        </is>
      </c>
      <c r="M56" s="8" t="n"/>
      <c r="N56" s="9" t="n"/>
      <c r="O56" s="9">
        <f>M56-N56</f>
        <v/>
      </c>
      <c r="P56" s="60" t="n">
        <v>5.27</v>
      </c>
      <c r="Q56" s="60">
        <f>P56*N56</f>
        <v/>
      </c>
      <c r="R56" s="62" t="inlineStr">
        <is>
          <t>Twin</t>
        </is>
      </c>
    </row>
    <row r="57">
      <c r="A57" s="10" t="n"/>
      <c r="B57" s="8" t="n"/>
      <c r="C57" s="8" t="n"/>
      <c r="D57" s="8" t="n"/>
      <c r="E57" s="8" t="n"/>
      <c r="F57" s="9">
        <f>D57-E57</f>
        <v/>
      </c>
      <c r="G57" s="60" t="n"/>
      <c r="H57" s="60">
        <f>G57*E57</f>
        <v/>
      </c>
      <c r="I57" s="60" t="n"/>
      <c r="J57" s="10" t="inlineStr">
        <is>
          <t>Midori</t>
        </is>
      </c>
      <c r="K57" s="8" t="inlineStr">
        <is>
          <t>Well</t>
        </is>
      </c>
      <c r="L57" s="8" t="inlineStr">
        <is>
          <t>1L</t>
        </is>
      </c>
      <c r="M57" s="8" t="n"/>
      <c r="N57" s="9" t="n"/>
      <c r="O57" s="9">
        <f>M57-N57</f>
        <v/>
      </c>
      <c r="P57" s="60" t="n">
        <v>23.31</v>
      </c>
      <c r="Q57" s="60">
        <f>P57*N57</f>
        <v/>
      </c>
      <c r="R57" s="62" t="inlineStr">
        <is>
          <t>Twin</t>
        </is>
      </c>
    </row>
    <row r="58">
      <c r="A58" s="10" t="n"/>
      <c r="B58" s="13" t="n"/>
      <c r="C58" s="8" t="n"/>
      <c r="D58" s="14" t="n"/>
      <c r="E58" s="15" t="n"/>
      <c r="F58" s="16">
        <f>D58-E58</f>
        <v/>
      </c>
      <c r="G58" s="59" t="n"/>
      <c r="H58" s="72" t="n">
        <v>0</v>
      </c>
      <c r="I58" s="72" t="n"/>
      <c r="J58" s="10" t="inlineStr">
        <is>
          <t>Mr Boston Triple Sec</t>
        </is>
      </c>
      <c r="K58" s="8" t="inlineStr">
        <is>
          <t>Well</t>
        </is>
      </c>
      <c r="L58" s="8" t="inlineStr">
        <is>
          <t>1L</t>
        </is>
      </c>
      <c r="M58" s="8" t="n"/>
      <c r="N58" s="9" t="n"/>
      <c r="O58" s="9">
        <f>M58-N58</f>
        <v/>
      </c>
      <c r="P58" s="60" t="n">
        <v>3.24</v>
      </c>
      <c r="Q58" s="60">
        <f>P58*N58</f>
        <v/>
      </c>
      <c r="R58" s="62" t="inlineStr">
        <is>
          <t>Twin</t>
        </is>
      </c>
    </row>
    <row r="59">
      <c r="A59" s="8" t="n"/>
      <c r="B59" s="8" t="n"/>
      <c r="C59" s="14" t="inlineStr">
        <is>
          <t>Size</t>
        </is>
      </c>
      <c r="D59" s="14" t="inlineStr">
        <is>
          <t>Par</t>
        </is>
      </c>
      <c r="E59" s="15" t="inlineStr">
        <is>
          <t>On Hand</t>
        </is>
      </c>
      <c r="F59" s="27" t="inlineStr">
        <is>
          <t>Need to Order</t>
        </is>
      </c>
      <c r="G59" s="59" t="inlineStr">
        <is>
          <t>Cost Per Case</t>
        </is>
      </c>
      <c r="H59" s="59" t="inlineStr">
        <is>
          <t>Extended Value</t>
        </is>
      </c>
      <c r="I59" s="73" t="inlineStr">
        <is>
          <t>Vendor</t>
        </is>
      </c>
      <c r="J59" s="10" t="inlineStr">
        <is>
          <t>Rumchata</t>
        </is>
      </c>
      <c r="K59" s="8" t="inlineStr">
        <is>
          <t>Premium</t>
        </is>
      </c>
      <c r="L59" s="8" t="inlineStr">
        <is>
          <t>1L</t>
        </is>
      </c>
      <c r="M59" s="8" t="n"/>
      <c r="N59" s="9" t="n"/>
      <c r="O59" s="9">
        <f>M59-N59</f>
        <v/>
      </c>
      <c r="P59" s="60" t="n">
        <v>25</v>
      </c>
      <c r="Q59" s="60">
        <f>P59*N59</f>
        <v/>
      </c>
      <c r="R59" s="61" t="inlineStr">
        <is>
          <t>Spec's</t>
        </is>
      </c>
    </row>
    <row r="60" ht="18" customHeight="1">
      <c r="A60" s="25" t="inlineStr">
        <is>
          <t>Beer/Seltzer/RTD</t>
        </is>
      </c>
      <c r="B60" s="8" t="n"/>
      <c r="C60" s="8" t="n"/>
      <c r="D60" s="8" t="n"/>
      <c r="E60" s="8" t="n"/>
      <c r="F60" s="9">
        <f>D60-E60</f>
        <v/>
      </c>
      <c r="G60" s="60" t="n"/>
      <c r="H60" s="60">
        <f>G60*E60</f>
        <v/>
      </c>
      <c r="I60" s="59" t="n"/>
      <c r="J60" s="10" t="inlineStr">
        <is>
          <t>Rumplemintz</t>
        </is>
      </c>
      <c r="K60" s="8" t="inlineStr">
        <is>
          <t>Premium</t>
        </is>
      </c>
      <c r="L60" s="8" t="inlineStr">
        <is>
          <t>1L</t>
        </is>
      </c>
      <c r="M60" s="8" t="n"/>
      <c r="N60" s="9" t="n"/>
      <c r="O60" s="9">
        <f>M60-N60</f>
        <v/>
      </c>
      <c r="P60" s="60" t="n">
        <v>27.83</v>
      </c>
      <c r="Q60" s="60">
        <f>P60*N60</f>
        <v/>
      </c>
      <c r="R60" s="61" t="inlineStr">
        <is>
          <t>Spec's</t>
        </is>
      </c>
    </row>
    <row r="61">
      <c r="A61" s="10" t="inlineStr">
        <is>
          <t>Budlight</t>
        </is>
      </c>
      <c r="B61" s="8" t="inlineStr">
        <is>
          <t>Domestic</t>
        </is>
      </c>
      <c r="C61" s="8" t="inlineStr">
        <is>
          <t>12oz</t>
        </is>
      </c>
      <c r="D61" s="8" t="n"/>
      <c r="E61" s="8" t="n"/>
      <c r="F61" s="9">
        <f>D61-E61</f>
        <v/>
      </c>
      <c r="G61" s="60" t="n">
        <v>27.95</v>
      </c>
      <c r="H61" s="60">
        <f>G61*E61</f>
        <v/>
      </c>
      <c r="I61" s="74" t="inlineStr">
        <is>
          <t>Specs</t>
        </is>
      </c>
      <c r="J61" s="10" t="n"/>
      <c r="K61" s="8" t="n"/>
      <c r="L61" s="8" t="n"/>
      <c r="M61" s="8" t="n"/>
      <c r="N61" s="9" t="n"/>
      <c r="O61" s="9">
        <f>M61-N61</f>
        <v/>
      </c>
      <c r="P61" s="60" t="n"/>
      <c r="Q61" s="60">
        <f>P61*N61</f>
        <v/>
      </c>
      <c r="R61" s="60" t="n"/>
    </row>
    <row r="62">
      <c r="A62" s="10" t="inlineStr">
        <is>
          <t>Dos Equis XX</t>
        </is>
      </c>
      <c r="B62" s="8" t="inlineStr">
        <is>
          <t>Import</t>
        </is>
      </c>
      <c r="C62" s="8" t="inlineStr">
        <is>
          <t>12oz</t>
        </is>
      </c>
      <c r="D62" s="8" t="n"/>
      <c r="E62" s="9" t="n"/>
      <c r="F62" s="9">
        <f>D62-E62</f>
        <v/>
      </c>
      <c r="G62" s="60" t="n">
        <v>34.97</v>
      </c>
      <c r="H62" s="60">
        <f>G62*E62</f>
        <v/>
      </c>
      <c r="I62" s="61" t="inlineStr">
        <is>
          <t>Specs</t>
        </is>
      </c>
      <c r="J62" s="10" t="inlineStr">
        <is>
          <t>Absinthe</t>
        </is>
      </c>
      <c r="K62" s="8" t="inlineStr">
        <is>
          <t>Premium</t>
        </is>
      </c>
      <c r="L62" s="8" t="inlineStr">
        <is>
          <t>1L</t>
        </is>
      </c>
      <c r="M62" s="8" t="n"/>
      <c r="N62" s="9" t="n">
        <v>0</v>
      </c>
      <c r="O62" s="9">
        <f>M62-N62</f>
        <v/>
      </c>
      <c r="P62" s="60" t="n">
        <v>18.36</v>
      </c>
      <c r="Q62" s="60">
        <f>P62*N62</f>
        <v/>
      </c>
      <c r="R62" s="62" t="inlineStr">
        <is>
          <t>Twin</t>
        </is>
      </c>
    </row>
    <row r="63">
      <c r="A63" s="10" t="inlineStr">
        <is>
          <t>Guinness</t>
        </is>
      </c>
      <c r="B63" s="8" t="inlineStr">
        <is>
          <t>Import</t>
        </is>
      </c>
      <c r="C63" s="8" t="inlineStr">
        <is>
          <t>12oz</t>
        </is>
      </c>
      <c r="D63" s="8" t="n"/>
      <c r="E63" s="9" t="n"/>
      <c r="F63" s="9">
        <f>D63-E63</f>
        <v/>
      </c>
      <c r="G63" s="60" t="n">
        <v>36.42</v>
      </c>
      <c r="H63" s="60">
        <f>G63*E63</f>
        <v/>
      </c>
      <c r="I63" s="61" t="inlineStr">
        <is>
          <t>Specs</t>
        </is>
      </c>
      <c r="J63" s="10" t="inlineStr">
        <is>
          <t>Damania</t>
        </is>
      </c>
      <c r="K63" s="8" t="inlineStr">
        <is>
          <t>Premium</t>
        </is>
      </c>
      <c r="L63" s="8" t="inlineStr">
        <is>
          <t>1L</t>
        </is>
      </c>
      <c r="M63" s="8" t="n"/>
      <c r="N63" s="9" t="n"/>
      <c r="O63" s="9">
        <f>M63-N63</f>
        <v/>
      </c>
      <c r="P63" s="60" t="n">
        <v>20.38</v>
      </c>
      <c r="Q63" s="60">
        <f>P63*N63</f>
        <v/>
      </c>
      <c r="R63" s="61" t="inlineStr">
        <is>
          <t>Spec's</t>
        </is>
      </c>
    </row>
    <row r="64">
      <c r="A64" s="10" t="inlineStr">
        <is>
          <t>Heineken 0.0</t>
        </is>
      </c>
      <c r="B64" s="8" t="inlineStr">
        <is>
          <t>Import</t>
        </is>
      </c>
      <c r="C64" s="8" t="inlineStr">
        <is>
          <t>12oz</t>
        </is>
      </c>
      <c r="D64" s="8" t="n"/>
      <c r="E64" s="8" t="n"/>
      <c r="F64" s="9">
        <f>D64-E64</f>
        <v/>
      </c>
      <c r="G64" s="60" t="n">
        <v>42.36</v>
      </c>
      <c r="H64" s="60">
        <f>G64*E64</f>
        <v/>
      </c>
      <c r="I64" s="61" t="inlineStr">
        <is>
          <t>Specs</t>
        </is>
      </c>
      <c r="J64" s="10" t="inlineStr">
        <is>
          <t>Fernet Branca</t>
        </is>
      </c>
      <c r="K64" s="8" t="inlineStr">
        <is>
          <t>Premium</t>
        </is>
      </c>
      <c r="L64" s="8" t="inlineStr">
        <is>
          <t>1L</t>
        </is>
      </c>
      <c r="M64" s="8" t="n"/>
      <c r="N64" s="9" t="n">
        <v>0</v>
      </c>
      <c r="O64" s="9">
        <f>M64-N64</f>
        <v/>
      </c>
      <c r="P64" s="60" t="n">
        <v>34.12</v>
      </c>
      <c r="Q64" s="60">
        <f>P64*N64</f>
        <v/>
      </c>
      <c r="R64" s="62" t="inlineStr">
        <is>
          <t>Twin</t>
        </is>
      </c>
    </row>
    <row r="65">
      <c r="A65" s="10" t="inlineStr">
        <is>
          <t>Miller Lite</t>
        </is>
      </c>
      <c r="B65" s="8" t="inlineStr">
        <is>
          <t>Domestic</t>
        </is>
      </c>
      <c r="C65" s="8" t="inlineStr">
        <is>
          <t>12oz</t>
        </is>
      </c>
      <c r="D65" s="8" t="n"/>
      <c r="E65" s="8" t="n"/>
      <c r="F65" s="9">
        <f>D65-E65</f>
        <v/>
      </c>
      <c r="G65" s="60" t="n">
        <v>25.65</v>
      </c>
      <c r="H65" s="60">
        <f>G65*E65</f>
        <v/>
      </c>
      <c r="I65" s="61" t="inlineStr">
        <is>
          <t>Specs</t>
        </is>
      </c>
      <c r="J65" s="10" t="inlineStr">
        <is>
          <t>Branca Mentha</t>
        </is>
      </c>
      <c r="K65" s="8" t="inlineStr">
        <is>
          <t>Premium</t>
        </is>
      </c>
      <c r="L65" s="8" t="inlineStr">
        <is>
          <t>1L</t>
        </is>
      </c>
      <c r="M65" s="8" t="n"/>
      <c r="N65" s="9" t="n">
        <v>0</v>
      </c>
      <c r="O65" s="9">
        <f>M65-N65</f>
        <v/>
      </c>
      <c r="P65" s="60" t="n">
        <v>36.67</v>
      </c>
      <c r="Q65" s="60">
        <f>P65*N65</f>
        <v/>
      </c>
      <c r="R65" s="61" t="inlineStr">
        <is>
          <t>Spec's</t>
        </is>
      </c>
    </row>
    <row r="66">
      <c r="A66" s="10" t="inlineStr">
        <is>
          <t>Mich Ultra</t>
        </is>
      </c>
      <c r="B66" s="8" t="inlineStr">
        <is>
          <t>Domestic</t>
        </is>
      </c>
      <c r="C66" s="8" t="inlineStr">
        <is>
          <t>12oz</t>
        </is>
      </c>
      <c r="D66" s="8" t="n"/>
      <c r="E66" s="8" t="n"/>
      <c r="F66" s="9">
        <f>D66-E66</f>
        <v/>
      </c>
      <c r="G66" s="60" t="n">
        <v>30.86</v>
      </c>
      <c r="H66" s="60">
        <f>G66*E66</f>
        <v/>
      </c>
      <c r="I66" s="75" t="inlineStr">
        <is>
          <t>Specs</t>
        </is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45" t="n"/>
    </row>
    <row r="67" ht="28.5" customHeight="1">
      <c r="A67" s="10" t="inlineStr">
        <is>
          <t>Modelo Especial</t>
        </is>
      </c>
      <c r="B67" s="8" t="inlineStr">
        <is>
          <t>Domestic</t>
        </is>
      </c>
      <c r="C67" s="8" t="inlineStr">
        <is>
          <t>12oz</t>
        </is>
      </c>
      <c r="D67" s="8" t="n"/>
      <c r="E67" s="8" t="n"/>
      <c r="F67" s="9">
        <f>D67-E67</f>
        <v/>
      </c>
      <c r="G67" s="60" t="n">
        <v>34.97</v>
      </c>
      <c r="H67" s="60">
        <f>G67*E67</f>
        <v/>
      </c>
      <c r="I67" s="61" t="inlineStr">
        <is>
          <t>Specs</t>
        </is>
      </c>
      <c r="J67" s="25" t="inlineStr">
        <is>
          <t>Garnish</t>
        </is>
      </c>
      <c r="K67" s="14" t="n"/>
      <c r="L67" s="14" t="inlineStr">
        <is>
          <t>Size</t>
        </is>
      </c>
      <c r="M67" s="14" t="inlineStr">
        <is>
          <t>Par</t>
        </is>
      </c>
      <c r="N67" s="15" t="inlineStr">
        <is>
          <t>On Hand</t>
        </is>
      </c>
      <c r="O67" s="27" t="inlineStr">
        <is>
          <t>Need to Order</t>
        </is>
      </c>
      <c r="P67" s="59" t="inlineStr">
        <is>
          <t>Cost Per Bottle</t>
        </is>
      </c>
      <c r="Q67" s="59" t="inlineStr">
        <is>
          <t>Extended Value</t>
        </is>
      </c>
      <c r="R67" s="73" t="inlineStr">
        <is>
          <t>Vendor</t>
        </is>
      </c>
    </row>
    <row r="68">
      <c r="A68" s="10" t="inlineStr">
        <is>
          <t>Revolver Blood &amp; Honey</t>
        </is>
      </c>
      <c r="B68" s="8" t="inlineStr">
        <is>
          <t>Domestic</t>
        </is>
      </c>
      <c r="C68" s="8" t="inlineStr">
        <is>
          <t>12oz</t>
        </is>
      </c>
      <c r="D68" s="8" t="n"/>
      <c r="E68" s="8" t="n"/>
      <c r="F68" s="9">
        <f>D68-E68</f>
        <v/>
      </c>
      <c r="G68" s="60" t="n">
        <v>40.92</v>
      </c>
      <c r="H68" s="60">
        <f>G68*E68</f>
        <v/>
      </c>
      <c r="I68" s="61" t="inlineStr">
        <is>
          <t>Specs</t>
        </is>
      </c>
      <c r="J68" s="10" t="inlineStr">
        <is>
          <t>Toschi Cherries</t>
        </is>
      </c>
      <c r="K68" s="8" t="n"/>
      <c r="L68" s="8" t="inlineStr">
        <is>
          <t>5.6 KG</t>
        </is>
      </c>
      <c r="M68" s="8" t="n"/>
      <c r="N68" s="9" t="n"/>
      <c r="O68" s="9">
        <f>M68-N68</f>
        <v/>
      </c>
      <c r="P68" s="60" t="n"/>
      <c r="Q68" s="60">
        <f>P68*N68</f>
        <v/>
      </c>
      <c r="R68" s="61" t="inlineStr">
        <is>
          <t>Spec's</t>
        </is>
      </c>
    </row>
    <row r="69">
      <c r="A69" s="10" t="inlineStr">
        <is>
          <t>Shiner Bock</t>
        </is>
      </c>
      <c r="B69" s="8" t="inlineStr">
        <is>
          <t>Import</t>
        </is>
      </c>
      <c r="C69" s="8" t="inlineStr">
        <is>
          <t>12oz</t>
        </is>
      </c>
      <c r="D69" s="8" t="n"/>
      <c r="E69" s="8" t="n"/>
      <c r="F69" s="9">
        <f>D69-E69</f>
        <v/>
      </c>
      <c r="G69" s="60" t="n">
        <v>31.82</v>
      </c>
      <c r="H69" s="60">
        <f>G69*E69</f>
        <v/>
      </c>
      <c r="I69" s="61" t="inlineStr">
        <is>
          <t>Specs</t>
        </is>
      </c>
      <c r="J69" s="10" t="inlineStr">
        <is>
          <t>Limes</t>
        </is>
      </c>
      <c r="K69" s="8" t="n"/>
      <c r="L69" s="8" t="inlineStr">
        <is>
          <t>Case</t>
        </is>
      </c>
      <c r="M69" s="8" t="n"/>
      <c r="N69" s="9" t="n"/>
      <c r="O69" s="9">
        <f>M69-N69</f>
        <v/>
      </c>
      <c r="P69" s="60" t="n"/>
      <c r="Q69" s="60">
        <f>P69*N69</f>
        <v/>
      </c>
      <c r="R69" s="76" t="inlineStr">
        <is>
          <t>Labatt</t>
        </is>
      </c>
    </row>
    <row r="70">
      <c r="A70" s="10" t="inlineStr">
        <is>
          <t>Stella Artois</t>
        </is>
      </c>
      <c r="B70" s="8" t="inlineStr">
        <is>
          <t>Import</t>
        </is>
      </c>
      <c r="C70" s="8" t="inlineStr">
        <is>
          <t>12oz</t>
        </is>
      </c>
      <c r="D70" s="8" t="n"/>
      <c r="E70" s="9" t="n"/>
      <c r="F70" s="19">
        <f>D70-E70</f>
        <v/>
      </c>
      <c r="G70" s="60" t="n">
        <v>35.39</v>
      </c>
      <c r="H70" s="60">
        <f>G70*E70</f>
        <v/>
      </c>
      <c r="I70" s="61" t="inlineStr">
        <is>
          <t>Specs</t>
        </is>
      </c>
      <c r="J70" s="10" t="inlineStr">
        <is>
          <t>Olives</t>
        </is>
      </c>
      <c r="K70" s="8" t="n"/>
      <c r="L70" s="8" t="inlineStr">
        <is>
          <t>Gallon</t>
        </is>
      </c>
      <c r="M70" s="8" t="n"/>
      <c r="N70" s="9" t="n"/>
      <c r="O70" s="9">
        <f>M70-N70</f>
        <v/>
      </c>
      <c r="P70" s="60" t="n"/>
      <c r="Q70" s="60">
        <f>P70*N70</f>
        <v/>
      </c>
      <c r="R70" s="77" t="inlineStr">
        <is>
          <t>R.Depot</t>
        </is>
      </c>
    </row>
    <row r="71">
      <c r="A71" s="10" t="inlineStr">
        <is>
          <t>Bluemoon Belgium White</t>
        </is>
      </c>
      <c r="B71" s="8" t="inlineStr">
        <is>
          <t>Import</t>
        </is>
      </c>
      <c r="C71" s="8" t="inlineStr">
        <is>
          <t>12oz</t>
        </is>
      </c>
      <c r="D71" s="8" t="n"/>
      <c r="E71" s="9" t="n"/>
      <c r="F71" s="9">
        <f>D71-E71</f>
        <v/>
      </c>
      <c r="G71" s="60" t="n">
        <v>35.03</v>
      </c>
      <c r="H71" s="60">
        <f>G71*E71</f>
        <v/>
      </c>
      <c r="I71" s="61" t="inlineStr">
        <is>
          <t>Specs</t>
        </is>
      </c>
      <c r="J71" s="10" t="inlineStr">
        <is>
          <t>Tajin</t>
        </is>
      </c>
      <c r="K71" s="8" t="n"/>
      <c r="L71" s="8" t="inlineStr">
        <is>
          <t>2 PK</t>
        </is>
      </c>
      <c r="M71" s="8" t="n"/>
      <c r="N71" s="9" t="n"/>
      <c r="O71" s="9">
        <f>M71-N71</f>
        <v/>
      </c>
      <c r="P71" s="60" t="n"/>
      <c r="Q71" s="60">
        <f>P71*N71</f>
        <v/>
      </c>
      <c r="R71" s="77" t="inlineStr">
        <is>
          <t>R.Depot</t>
        </is>
      </c>
    </row>
    <row r="72">
      <c r="A72" s="10" t="inlineStr">
        <is>
          <t>Coronita Bottle</t>
        </is>
      </c>
      <c r="B72" s="8" t="inlineStr">
        <is>
          <t>Import</t>
        </is>
      </c>
      <c r="C72" s="8" t="inlineStr">
        <is>
          <t>7oz</t>
        </is>
      </c>
      <c r="D72" s="8" t="n"/>
      <c r="E72" s="9" t="n"/>
      <c r="F72" s="19">
        <f>D72-E72</f>
        <v/>
      </c>
      <c r="G72" s="60" t="n">
        <v>24.81</v>
      </c>
      <c r="H72" s="60">
        <f>G72*E72</f>
        <v/>
      </c>
      <c r="I72" s="78" t="inlineStr">
        <is>
          <t>Specs</t>
        </is>
      </c>
      <c r="J72" s="10" t="inlineStr">
        <is>
          <t>Kosher Salt</t>
        </is>
      </c>
      <c r="K72" s="8" t="n"/>
      <c r="L72" s="8" t="inlineStr">
        <is>
          <t>3lb Box</t>
        </is>
      </c>
      <c r="M72" s="8" t="n"/>
      <c r="N72" s="9" t="n"/>
      <c r="O72" s="9">
        <f>M72-N72</f>
        <v/>
      </c>
      <c r="P72" s="60" t="n"/>
      <c r="Q72" s="60">
        <f>P72*N72</f>
        <v/>
      </c>
      <c r="R72" s="76" t="inlineStr">
        <is>
          <t>Labatt</t>
        </is>
      </c>
    </row>
    <row r="73">
      <c r="A73" s="10" t="inlineStr">
        <is>
          <t>Local Buzz</t>
        </is>
      </c>
      <c r="B73" s="8" t="inlineStr">
        <is>
          <t>Domestic</t>
        </is>
      </c>
      <c r="C73" s="8" t="inlineStr">
        <is>
          <t>12oz Can</t>
        </is>
      </c>
      <c r="D73" s="8" t="n"/>
      <c r="E73" s="9" t="n"/>
      <c r="F73" s="19">
        <f>D73-E73</f>
        <v/>
      </c>
      <c r="G73" s="60" t="n">
        <v>31.6</v>
      </c>
      <c r="H73" s="60">
        <f>G73*E73</f>
        <v/>
      </c>
      <c r="I73" s="61" t="inlineStr">
        <is>
          <t>Specs</t>
        </is>
      </c>
      <c r="J73" s="10" t="inlineStr">
        <is>
          <t>Orange Juice</t>
        </is>
      </c>
      <c r="K73" s="8" t="n"/>
      <c r="L73" s="8" t="inlineStr">
        <is>
          <t>Gallon</t>
        </is>
      </c>
      <c r="M73" s="8" t="n"/>
      <c r="N73" s="9" t="n"/>
      <c r="O73" s="9">
        <f>M73-N73</f>
        <v/>
      </c>
      <c r="P73" s="60" t="n"/>
      <c r="Q73" s="60">
        <f>P73*N73</f>
        <v/>
      </c>
      <c r="R73" s="76" t="inlineStr">
        <is>
          <t>Labatt</t>
        </is>
      </c>
    </row>
    <row r="74">
      <c r="A74" s="10" t="inlineStr">
        <is>
          <t>Half Life Hazy IPA</t>
        </is>
      </c>
      <c r="B74" s="8" t="inlineStr">
        <is>
          <t>Domestic</t>
        </is>
      </c>
      <c r="C74" s="8" t="inlineStr">
        <is>
          <t>12oz Can</t>
        </is>
      </c>
      <c r="D74" s="8" t="n"/>
      <c r="E74" s="8" t="n"/>
      <c r="F74" s="9">
        <f>D74-E74</f>
        <v/>
      </c>
      <c r="G74" s="60" t="n">
        <v>36.76</v>
      </c>
      <c r="H74" s="60">
        <f>G74*E74</f>
        <v/>
      </c>
      <c r="I74" s="61" t="inlineStr">
        <is>
          <t>Specs</t>
        </is>
      </c>
      <c r="J74" s="10" t="inlineStr">
        <is>
          <t>Tabasco</t>
        </is>
      </c>
      <c r="K74" s="8" t="n"/>
      <c r="L74" s="8" t="inlineStr">
        <is>
          <t>Bottle</t>
        </is>
      </c>
      <c r="M74" s="8" t="n"/>
      <c r="N74" s="9" t="n"/>
      <c r="O74" s="9">
        <f>M74-N74</f>
        <v/>
      </c>
      <c r="P74" s="60" t="n"/>
      <c r="Q74" s="60">
        <f>P74*N74</f>
        <v/>
      </c>
      <c r="R74" s="79" t="inlineStr">
        <is>
          <t>Labatt</t>
        </is>
      </c>
    </row>
    <row r="75">
      <c r="A75" s="10" t="inlineStr">
        <is>
          <t>High Noon Seltzer</t>
        </is>
      </c>
      <c r="B75" s="8" t="inlineStr">
        <is>
          <t>Domestic</t>
        </is>
      </c>
      <c r="C75" s="8" t="inlineStr">
        <is>
          <t>12oz Can</t>
        </is>
      </c>
      <c r="D75" s="8" t="n"/>
      <c r="E75" s="8" t="n"/>
      <c r="F75" s="9">
        <f>D75-E75</f>
        <v/>
      </c>
      <c r="G75" s="60" t="n">
        <v>49.97</v>
      </c>
      <c r="H75" s="60">
        <f>G75*E75</f>
        <v/>
      </c>
      <c r="I75" s="61" t="inlineStr">
        <is>
          <t>Specs</t>
        </is>
      </c>
      <c r="J75" s="10" t="inlineStr">
        <is>
          <t>Angastora Bitters</t>
        </is>
      </c>
      <c r="K75" s="8" t="n"/>
      <c r="L75" s="8" t="inlineStr">
        <is>
          <t>Bottle</t>
        </is>
      </c>
      <c r="M75" s="8" t="n"/>
      <c r="N75" s="9" t="n"/>
      <c r="O75" s="9">
        <f>M75-N75</f>
        <v/>
      </c>
      <c r="P75" s="60" t="n"/>
      <c r="Q75" s="60">
        <f>P75*N75</f>
        <v/>
      </c>
      <c r="R75" s="61" t="inlineStr">
        <is>
          <t>Spec's</t>
        </is>
      </c>
    </row>
    <row r="76" ht="18" customHeight="1">
      <c r="A76" s="35" t="n"/>
      <c r="B76" s="8" t="n"/>
      <c r="C76" s="8" t="n"/>
      <c r="D76" s="8" t="n"/>
      <c r="E76" s="8" t="n"/>
      <c r="F76" s="9" t="n"/>
      <c r="G76" s="60" t="n"/>
      <c r="H76" s="60" t="n"/>
      <c r="I76" s="60" t="n"/>
      <c r="J76" s="10" t="inlineStr">
        <is>
          <t>Aztec Chocolate Bitters</t>
        </is>
      </c>
      <c r="K76" s="8" t="n"/>
      <c r="L76" s="8" t="inlineStr">
        <is>
          <t>Bottle</t>
        </is>
      </c>
      <c r="M76" s="8" t="n"/>
      <c r="N76" s="9" t="n"/>
      <c r="O76" s="9">
        <f>M76-N76</f>
        <v/>
      </c>
      <c r="P76" s="60" t="n"/>
      <c r="Q76" s="60">
        <f>P76*N76</f>
        <v/>
      </c>
      <c r="R76" s="61" t="inlineStr">
        <is>
          <t>Spec's</t>
        </is>
      </c>
    </row>
    <row r="77" ht="18" customHeight="1">
      <c r="A77" s="25" t="inlineStr">
        <is>
          <t>N/A Bev</t>
        </is>
      </c>
      <c r="B77" s="8" t="n"/>
      <c r="C77" s="8" t="n"/>
      <c r="D77" s="8" t="n"/>
      <c r="E77" s="8" t="n"/>
      <c r="F77" s="9" t="n"/>
      <c r="G77" s="60" t="n"/>
      <c r="H77" s="60" t="n"/>
      <c r="I77" s="60" t="n"/>
      <c r="J77" s="10" t="inlineStr">
        <is>
          <t>Cranberry Bitters</t>
        </is>
      </c>
      <c r="K77" s="8" t="n"/>
      <c r="L77" s="8" t="inlineStr">
        <is>
          <t>Bottle</t>
        </is>
      </c>
      <c r="M77" s="8" t="n"/>
      <c r="N77" s="9" t="n"/>
      <c r="O77" s="9">
        <f>M77-N77</f>
        <v/>
      </c>
      <c r="P77" s="60" t="n"/>
      <c r="Q77" s="60">
        <f>P77*N77</f>
        <v/>
      </c>
      <c r="R77" s="61" t="inlineStr">
        <is>
          <t>Spec's</t>
        </is>
      </c>
    </row>
    <row r="78">
      <c r="A78" s="10" t="inlineStr">
        <is>
          <t>Cola BiB</t>
        </is>
      </c>
      <c r="B78" s="8" t="n"/>
      <c r="C78" s="8" t="inlineStr">
        <is>
          <t>BiB</t>
        </is>
      </c>
      <c r="D78" s="8" t="n"/>
      <c r="E78" s="8" t="n"/>
      <c r="F78" s="9">
        <f>D78-E78</f>
        <v/>
      </c>
      <c r="G78" s="60" t="n"/>
      <c r="H78" s="60">
        <f>G78*E78</f>
        <v/>
      </c>
      <c r="I78" s="61" t="inlineStr">
        <is>
          <t>Spec's</t>
        </is>
      </c>
      <c r="J78" s="10" t="inlineStr">
        <is>
          <t>Regan Orange Bitters</t>
        </is>
      </c>
      <c r="K78" s="8" t="n"/>
      <c r="L78" s="8" t="inlineStr">
        <is>
          <t>Bottle</t>
        </is>
      </c>
      <c r="M78" s="8" t="n"/>
      <c r="N78" s="9" t="n"/>
      <c r="O78" s="9">
        <f>M78-N78</f>
        <v/>
      </c>
      <c r="P78" s="60" t="n"/>
      <c r="Q78" s="60">
        <f>P78*N78</f>
        <v/>
      </c>
      <c r="R78" s="61" t="inlineStr">
        <is>
          <t>Spec's</t>
        </is>
      </c>
    </row>
    <row r="79">
      <c r="A79" s="10" t="inlineStr">
        <is>
          <t>Cranberry</t>
        </is>
      </c>
      <c r="B79" s="8" t="n"/>
      <c r="C79" s="8" t="inlineStr">
        <is>
          <t>BiB</t>
        </is>
      </c>
      <c r="D79" s="8" t="n"/>
      <c r="E79" s="8" t="n"/>
      <c r="F79" s="9">
        <f>D79-E79</f>
        <v/>
      </c>
      <c r="G79" s="60" t="n"/>
      <c r="H79" s="60">
        <f>G79*E79</f>
        <v/>
      </c>
      <c r="I79" s="61" t="inlineStr">
        <is>
          <t>Spec's</t>
        </is>
      </c>
      <c r="J79" s="10" t="inlineStr">
        <is>
          <t>Cinnamon Sticks</t>
        </is>
      </c>
      <c r="K79" s="8" t="n"/>
      <c r="L79" s="8" t="inlineStr">
        <is>
          <t>Bottle</t>
        </is>
      </c>
      <c r="M79" s="8" t="n"/>
      <c r="N79" s="9" t="n"/>
      <c r="O79" s="9">
        <f>M79-N79</f>
        <v/>
      </c>
      <c r="P79" s="60" t="n"/>
      <c r="Q79" s="60">
        <f>P79*N79</f>
        <v/>
      </c>
      <c r="R79" s="76" t="inlineStr">
        <is>
          <t>Labatt</t>
        </is>
      </c>
    </row>
    <row r="80">
      <c r="A80" s="10" t="inlineStr">
        <is>
          <t>Cola Zero</t>
        </is>
      </c>
      <c r="B80" s="8" t="n"/>
      <c r="C80" s="8" t="inlineStr">
        <is>
          <t>BiB</t>
        </is>
      </c>
      <c r="D80" s="8" t="n"/>
      <c r="E80" s="8" t="n"/>
      <c r="F80" s="9">
        <f>D80-E80</f>
        <v/>
      </c>
      <c r="G80" s="60" t="n"/>
      <c r="H80" s="60">
        <f>G80*E80</f>
        <v/>
      </c>
      <c r="I80" s="61" t="inlineStr">
        <is>
          <t>Spec's</t>
        </is>
      </c>
      <c r="J80" s="10" t="inlineStr">
        <is>
          <t>Fee Foam</t>
        </is>
      </c>
      <c r="K80" s="8" t="n"/>
      <c r="L80" s="8" t="inlineStr">
        <is>
          <t>Bottle</t>
        </is>
      </c>
      <c r="M80" s="8" t="n"/>
      <c r="N80" s="9" t="n"/>
      <c r="O80" s="9">
        <f>M80-N80</f>
        <v/>
      </c>
      <c r="P80" s="60" t="n"/>
      <c r="Q80" s="60">
        <f>P80*N80</f>
        <v/>
      </c>
      <c r="R80" s="62" t="inlineStr">
        <is>
          <t>Twin</t>
        </is>
      </c>
    </row>
    <row r="81">
      <c r="A81" s="10" t="inlineStr">
        <is>
          <t>Lemon Up</t>
        </is>
      </c>
      <c r="B81" s="8" t="n"/>
      <c r="C81" s="8" t="inlineStr">
        <is>
          <t>BiB</t>
        </is>
      </c>
      <c r="D81" s="8" t="n"/>
      <c r="E81" s="8" t="n"/>
      <c r="F81" s="9">
        <f>D81-E81</f>
        <v/>
      </c>
      <c r="G81" s="60" t="n"/>
      <c r="H81" s="60">
        <f>G81*E81</f>
        <v/>
      </c>
      <c r="I81" s="61" t="inlineStr">
        <is>
          <t>Spec's</t>
        </is>
      </c>
      <c r="J81" s="20" t="inlineStr">
        <is>
          <t>Black Walnut Bitters</t>
        </is>
      </c>
      <c r="K81" s="8" t="n"/>
      <c r="L81" s="8" t="inlineStr">
        <is>
          <t>Bottle</t>
        </is>
      </c>
      <c r="M81" s="8" t="n"/>
      <c r="N81" s="9" t="n"/>
      <c r="O81" s="9">
        <f>M81-N81</f>
        <v/>
      </c>
      <c r="P81" s="60" t="n"/>
      <c r="Q81" s="60">
        <f>P81*N81</f>
        <v/>
      </c>
      <c r="R81" s="61" t="inlineStr">
        <is>
          <t>Spec's</t>
        </is>
      </c>
    </row>
    <row r="82">
      <c r="A82" s="10" t="inlineStr">
        <is>
          <t>Pineapple Juice</t>
        </is>
      </c>
      <c r="B82" s="8" t="n"/>
      <c r="C82" s="8" t="inlineStr">
        <is>
          <t>Can</t>
        </is>
      </c>
      <c r="D82" s="8" t="n"/>
      <c r="E82" s="9" t="n"/>
      <c r="F82" s="9">
        <f>D82-E82</f>
        <v/>
      </c>
      <c r="G82" s="60" t="n"/>
      <c r="H82" s="60">
        <f>G82*E82</f>
        <v/>
      </c>
      <c r="I82" s="76" t="inlineStr">
        <is>
          <t>Labatt</t>
        </is>
      </c>
      <c r="J82" s="10" t="inlineStr">
        <is>
          <t>Grapefruit Bitters</t>
        </is>
      </c>
      <c r="K82" s="8" t="n"/>
      <c r="L82" s="8" t="inlineStr">
        <is>
          <t>Bottle</t>
        </is>
      </c>
      <c r="M82" s="8" t="n"/>
      <c r="N82" s="9" t="n"/>
      <c r="O82" s="9">
        <f>M82-N82</f>
        <v/>
      </c>
      <c r="P82" s="60" t="n"/>
      <c r="Q82" s="60">
        <f>P82*N82</f>
        <v/>
      </c>
      <c r="R82" s="61" t="inlineStr">
        <is>
          <t>Spec's</t>
        </is>
      </c>
    </row>
    <row r="83">
      <c r="A83" s="10" t="inlineStr">
        <is>
          <t>Dr. Hopper</t>
        </is>
      </c>
      <c r="B83" s="8" t="n"/>
      <c r="C83" s="8" t="inlineStr">
        <is>
          <t>BiB</t>
        </is>
      </c>
      <c r="D83" s="8" t="n"/>
      <c r="E83" s="9" t="n"/>
      <c r="F83" s="9">
        <f>D83-E83</f>
        <v/>
      </c>
      <c r="G83" s="60" t="n"/>
      <c r="H83" s="60">
        <f>G83*E83</f>
        <v/>
      </c>
      <c r="I83" s="61" t="inlineStr">
        <is>
          <t>Spec's</t>
        </is>
      </c>
      <c r="J83" s="10" t="inlineStr">
        <is>
          <t>Rhubarb Bitters</t>
        </is>
      </c>
      <c r="K83" s="8" t="n"/>
      <c r="L83" s="8" t="inlineStr">
        <is>
          <t>Bottle</t>
        </is>
      </c>
      <c r="M83" s="8" t="n"/>
      <c r="N83" s="9" t="n"/>
      <c r="O83" s="9">
        <f>M83-N83</f>
        <v/>
      </c>
      <c r="P83" s="60" t="n"/>
      <c r="Q83" s="60">
        <f>P83*N83</f>
        <v/>
      </c>
      <c r="R83" s="61" t="inlineStr">
        <is>
          <t>Spec's</t>
        </is>
      </c>
    </row>
    <row r="84">
      <c r="A84" s="10" t="inlineStr">
        <is>
          <t>Tonic</t>
        </is>
      </c>
      <c r="B84" s="8" t="n"/>
      <c r="C84" s="8" t="inlineStr">
        <is>
          <t>BiB</t>
        </is>
      </c>
      <c r="D84" s="8" t="n"/>
      <c r="E84" s="9" t="n"/>
      <c r="F84" s="9">
        <f>D84-E84</f>
        <v/>
      </c>
      <c r="G84" s="60" t="n"/>
      <c r="H84" s="60">
        <f>G84*E84</f>
        <v/>
      </c>
      <c r="I84" s="61" t="inlineStr">
        <is>
          <t>Spec's</t>
        </is>
      </c>
      <c r="J84" s="10" t="inlineStr">
        <is>
          <t>Celery Bitters</t>
        </is>
      </c>
      <c r="K84" s="8" t="n"/>
      <c r="L84" s="8" t="inlineStr">
        <is>
          <t>Bottle</t>
        </is>
      </c>
      <c r="M84" s="8" t="n"/>
      <c r="N84" s="9" t="n"/>
      <c r="O84" s="9">
        <f>M84-N84</f>
        <v/>
      </c>
      <c r="P84" s="60" t="n"/>
      <c r="Q84" s="60">
        <f>P84*N84</f>
        <v/>
      </c>
      <c r="R84" s="61" t="inlineStr">
        <is>
          <t>Spec's</t>
        </is>
      </c>
    </row>
    <row r="85">
      <c r="A85" s="10" t="inlineStr">
        <is>
          <t>Ginger Beer</t>
        </is>
      </c>
      <c r="B85" s="8" t="n"/>
      <c r="C85" s="8" t="inlineStr">
        <is>
          <t>Can</t>
        </is>
      </c>
      <c r="D85" s="8" t="n"/>
      <c r="E85" s="9" t="n"/>
      <c r="F85" s="9">
        <f>D85-E85</f>
        <v/>
      </c>
      <c r="G85" s="60" t="n"/>
      <c r="H85" s="60">
        <f>G85*E85</f>
        <v/>
      </c>
      <c r="I85" s="61" t="inlineStr">
        <is>
          <t>Spec's</t>
        </is>
      </c>
      <c r="J85" s="10" t="n"/>
      <c r="K85" s="8" t="n"/>
      <c r="L85" s="8" t="n"/>
      <c r="M85" s="8" t="n"/>
      <c r="N85" s="9" t="n"/>
      <c r="O85" s="9">
        <f>M85-N85</f>
        <v/>
      </c>
      <c r="P85" s="60" t="n"/>
      <c r="Q85" s="60">
        <f>P85*N85</f>
        <v/>
      </c>
      <c r="R85" s="60" t="n"/>
    </row>
    <row r="86">
      <c r="A86" s="10" t="inlineStr">
        <is>
          <t>Grapefruit Juice</t>
        </is>
      </c>
      <c r="B86" s="8" t="n"/>
      <c r="C86" s="8" t="inlineStr">
        <is>
          <t>64oz Jug</t>
        </is>
      </c>
      <c r="D86" s="8" t="n"/>
      <c r="E86" s="9" t="n"/>
      <c r="F86" s="9">
        <f>D86-E86</f>
        <v/>
      </c>
      <c r="G86" s="60" t="n"/>
      <c r="H86" s="60">
        <f>G86*E86</f>
        <v/>
      </c>
      <c r="I86" s="76" t="inlineStr">
        <is>
          <t>Labatt</t>
        </is>
      </c>
      <c r="J86" s="10" t="n"/>
      <c r="K86" s="8" t="n"/>
      <c r="L86" s="8" t="n"/>
      <c r="M86" s="8" t="n"/>
      <c r="N86" s="9" t="n"/>
      <c r="O86" s="9">
        <f>M86-N86</f>
        <v/>
      </c>
      <c r="P86" s="60" t="n"/>
      <c r="Q86" s="60">
        <f>P86*N86</f>
        <v/>
      </c>
      <c r="R86" s="60" t="n"/>
    </row>
    <row r="87">
      <c r="A87" s="10" t="inlineStr">
        <is>
          <t>Grenadine</t>
        </is>
      </c>
      <c r="B87" s="8" t="n"/>
      <c r="C87" s="8" t="inlineStr">
        <is>
          <t>1L</t>
        </is>
      </c>
      <c r="D87" s="8" t="n"/>
      <c r="E87" s="9" t="n"/>
      <c r="F87" s="9">
        <f>D87-E87</f>
        <v/>
      </c>
      <c r="G87" s="60" t="n"/>
      <c r="H87" s="60">
        <f>G87*E87</f>
        <v/>
      </c>
      <c r="I87" s="61" t="inlineStr">
        <is>
          <t>Spec's</t>
        </is>
      </c>
      <c r="J87" s="10" t="n"/>
      <c r="K87" s="8" t="n"/>
      <c r="L87" s="8" t="n"/>
      <c r="M87" s="8" t="n"/>
      <c r="N87" s="9" t="n"/>
      <c r="O87" s="9">
        <f>M87-N87</f>
        <v/>
      </c>
      <c r="P87" s="60" t="n"/>
      <c r="Q87" s="60">
        <f>P87*N87</f>
        <v/>
      </c>
      <c r="R87" s="60" t="n"/>
    </row>
    <row r="88">
      <c r="A88" s="10" t="inlineStr">
        <is>
          <t>Lime Juice</t>
        </is>
      </c>
      <c r="B88" s="8" t="n"/>
      <c r="C88" s="8" t="inlineStr">
        <is>
          <t>1/2 Gallon</t>
        </is>
      </c>
      <c r="D88" s="8" t="n"/>
      <c r="E88" s="9" t="n"/>
      <c r="F88" s="9">
        <f>D88-E88</f>
        <v/>
      </c>
      <c r="G88" s="60" t="n"/>
      <c r="H88" s="60">
        <f>G88*E88</f>
        <v/>
      </c>
      <c r="I88" s="77" t="inlineStr">
        <is>
          <t>R.Depot</t>
        </is>
      </c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</row>
    <row r="89">
      <c r="A89" s="10" t="inlineStr">
        <is>
          <t>Red Bull</t>
        </is>
      </c>
      <c r="B89" s="8" t="n"/>
      <c r="C89" s="8" t="inlineStr">
        <is>
          <t>8.4 oz Can</t>
        </is>
      </c>
      <c r="D89" s="8" t="n"/>
      <c r="E89" s="9" t="n"/>
      <c r="F89" s="9">
        <f>D89-E89</f>
        <v/>
      </c>
      <c r="G89" s="60" t="n"/>
      <c r="H89" s="60">
        <f>G89*E89</f>
        <v/>
      </c>
      <c r="I89" s="77" t="inlineStr">
        <is>
          <t>R.Depot</t>
        </is>
      </c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</row>
    <row r="90">
      <c r="A90" s="10" t="inlineStr">
        <is>
          <t>Red Bull SF</t>
        </is>
      </c>
      <c r="B90" s="8" t="n"/>
      <c r="C90" s="8" t="inlineStr">
        <is>
          <t>8.4 Ox Can</t>
        </is>
      </c>
      <c r="D90" s="8" t="n"/>
      <c r="E90" s="9" t="n"/>
      <c r="F90" s="9">
        <f>D90-E90</f>
        <v/>
      </c>
      <c r="G90" s="60" t="n"/>
      <c r="H90" s="60">
        <f>G90*E90</f>
        <v/>
      </c>
      <c r="I90" s="77" t="inlineStr">
        <is>
          <t>R.Depot</t>
        </is>
      </c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</row>
    <row r="91">
      <c r="A91" s="10" t="inlineStr">
        <is>
          <t>Topo Chico</t>
        </is>
      </c>
      <c r="B91" s="8" t="n"/>
      <c r="C91" s="8" t="inlineStr">
        <is>
          <t>12 oz Bottle</t>
        </is>
      </c>
      <c r="D91" s="8" t="n"/>
      <c r="E91" s="9" t="n"/>
      <c r="F91" s="9">
        <f>D91-E91</f>
        <v/>
      </c>
      <c r="G91" s="60" t="n"/>
      <c r="H91" s="60">
        <f>G91*E91</f>
        <v/>
      </c>
      <c r="I91" s="61" t="inlineStr">
        <is>
          <t>Spec's</t>
        </is>
      </c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</row>
    <row r="92">
      <c r="A92" s="10" t="inlineStr">
        <is>
          <t>Pickle Juice</t>
        </is>
      </c>
      <c r="B92" s="8" t="n"/>
      <c r="C92" s="8" t="inlineStr">
        <is>
          <t>Gallon</t>
        </is>
      </c>
      <c r="D92" s="8" t="n"/>
      <c r="E92" s="9" t="n"/>
      <c r="F92" s="9">
        <f>D92-E92</f>
        <v/>
      </c>
      <c r="G92" s="60" t="n"/>
      <c r="H92" s="60">
        <f>G92*E92</f>
        <v/>
      </c>
      <c r="I92" s="76" t="inlineStr">
        <is>
          <t>Labatt</t>
        </is>
      </c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</row>
    <row r="93">
      <c r="A93" s="10" t="inlineStr">
        <is>
          <t>Strawberry Puree</t>
        </is>
      </c>
      <c r="B93" s="8" t="n"/>
      <c r="C93" s="8" t="inlineStr">
        <is>
          <t>1L</t>
        </is>
      </c>
      <c r="D93" s="8" t="n"/>
      <c r="E93" s="9" t="n"/>
      <c r="F93" s="9">
        <f>D93-E93</f>
        <v/>
      </c>
      <c r="G93" s="60" t="n"/>
      <c r="H93" s="60">
        <f>G93*E93</f>
        <v/>
      </c>
      <c r="I93" s="61" t="inlineStr">
        <is>
          <t>Spec's</t>
        </is>
      </c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>
      <c r="A94" s="10" t="inlineStr">
        <is>
          <t>Passionfruit Puree</t>
        </is>
      </c>
      <c r="B94" s="8" t="n"/>
      <c r="C94" s="8" t="inlineStr">
        <is>
          <t>1L</t>
        </is>
      </c>
      <c r="D94" s="8" t="n"/>
      <c r="E94" s="8" t="n"/>
      <c r="F94" s="19">
        <f>D94-E94</f>
        <v/>
      </c>
      <c r="G94" s="80" t="n"/>
      <c r="H94" s="60">
        <f>G94*E94</f>
        <v/>
      </c>
      <c r="I94" s="61" t="inlineStr">
        <is>
          <t>Spec's</t>
        </is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</row>
    <row r="95">
      <c r="A95" s="10" t="inlineStr">
        <is>
          <t>Revolution</t>
        </is>
      </c>
      <c r="B95" s="8" t="n"/>
      <c r="C95" s="8" t="inlineStr">
        <is>
          <t>1L</t>
        </is>
      </c>
      <c r="D95" s="8" t="n"/>
      <c r="E95" s="8" t="n"/>
      <c r="F95" s="19">
        <f>D95-E95</f>
        <v/>
      </c>
      <c r="G95" s="80" t="n"/>
      <c r="H95" s="60">
        <f>G95*E95</f>
        <v/>
      </c>
      <c r="I95" s="61" t="inlineStr">
        <is>
          <t>Spec's</t>
        </is>
      </c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</row>
    <row r="96">
      <c r="A96" s="10" t="inlineStr">
        <is>
          <t>Peach Puree</t>
        </is>
      </c>
      <c r="B96" s="8" t="n"/>
      <c r="C96" s="8" t="inlineStr">
        <is>
          <t>1L</t>
        </is>
      </c>
      <c r="D96" s="8" t="n"/>
      <c r="E96" s="8" t="n"/>
      <c r="F96" s="19">
        <f>D96-E96</f>
        <v/>
      </c>
      <c r="G96" s="80" t="n"/>
      <c r="H96" s="60">
        <f>G96*E96</f>
        <v/>
      </c>
      <c r="I96" s="53" t="inlineStr">
        <is>
          <t>Specs</t>
        </is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</row>
    <row r="97">
      <c r="A97" s="10" t="inlineStr">
        <is>
          <t>Mango Puree</t>
        </is>
      </c>
      <c r="B97" s="8" t="n"/>
      <c r="C97" s="8" t="inlineStr">
        <is>
          <t>1L</t>
        </is>
      </c>
      <c r="D97" s="8" t="n"/>
      <c r="E97" s="8" t="n"/>
      <c r="F97" s="19">
        <f>D97-E97</f>
        <v/>
      </c>
      <c r="G97" s="80" t="n"/>
      <c r="H97" s="60">
        <f>G97*E97</f>
        <v/>
      </c>
      <c r="I97" s="53" t="inlineStr">
        <is>
          <t>Specs</t>
        </is>
      </c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</row>
    <row r="98">
      <c r="A98" s="10" t="inlineStr">
        <is>
          <t>Fresh Marg Mix</t>
        </is>
      </c>
      <c r="B98" s="8" t="n"/>
      <c r="C98" s="8" t="inlineStr">
        <is>
          <t>Gallon</t>
        </is>
      </c>
      <c r="D98" s="8" t="n"/>
      <c r="E98" s="8" t="n"/>
      <c r="F98" s="19">
        <f>D98-E98</f>
        <v/>
      </c>
      <c r="G98" s="80" t="n"/>
      <c r="H98" s="60">
        <f>G98*E98</f>
        <v/>
      </c>
      <c r="I98" s="54" t="inlineStr">
        <is>
          <t>Labatt</t>
        </is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</row>
    <row r="99">
      <c r="A99" s="10" t="inlineStr">
        <is>
          <t>Olive Juice</t>
        </is>
      </c>
      <c r="B99" s="8" t="n"/>
      <c r="C99" s="8" t="inlineStr">
        <is>
          <t>Bottle</t>
        </is>
      </c>
      <c r="D99" s="8" t="n"/>
      <c r="E99" s="8" t="n"/>
      <c r="F99" s="19">
        <f>D99-E99</f>
        <v/>
      </c>
      <c r="G99" s="80" t="n"/>
      <c r="H99" s="60">
        <f>G99*E99</f>
        <v/>
      </c>
      <c r="I99" s="53" t="inlineStr">
        <is>
          <t>Specs</t>
        </is>
      </c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</row>
    <row r="100">
      <c r="A100" s="10" t="n"/>
      <c r="B100" s="8" t="n"/>
      <c r="C100" s="8" t="n"/>
      <c r="D100" s="8" t="n"/>
      <c r="E100" s="8" t="n"/>
      <c r="F100" s="19" t="n"/>
      <c r="G100" s="80" t="n"/>
      <c r="H100" s="60" t="n"/>
      <c r="I100" s="55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</row>
  </sheetData>
  <pageMargins left="0.7" right="0.7" top="0.75" bottom="0.75" header="0.3" footer="0.3"/>
  <pageSetup orientation="landscape" scale="4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1" topLeftCell="A4" zoomScaleNormal="100" workbookViewId="0">
      <selection activeCell="M32" sqref="M32"/>
    </sheetView>
  </sheetViews>
  <sheetFormatPr baseColWidth="8" defaultRowHeight="14.25"/>
  <cols>
    <col width="16.796875" customWidth="1" min="1" max="1"/>
    <col width="15.46484375" customWidth="1" min="4" max="4"/>
    <col width="24.46484375" customWidth="1" min="7" max="7"/>
    <col width="16.59765625" customWidth="1" min="10" max="10"/>
    <col width="23.33203125" customWidth="1" min="13" max="13"/>
  </cols>
  <sheetData>
    <row r="1">
      <c r="A1" s="57" t="inlineStr">
        <is>
          <t>Column 1 Mid</t>
        </is>
      </c>
      <c r="D1" s="57" t="inlineStr">
        <is>
          <t>Column 2 Mid</t>
        </is>
      </c>
      <c r="G1" s="57" t="inlineStr">
        <is>
          <t>Column 3 Mid</t>
        </is>
      </c>
      <c r="J1" s="57" t="inlineStr">
        <is>
          <t>Column 4 Mid</t>
        </is>
      </c>
      <c r="M1" s="57" t="inlineStr">
        <is>
          <t>Column 5 Mid</t>
        </is>
      </c>
    </row>
    <row r="2"/>
    <row r="3">
      <c r="A3" t="inlineStr">
        <is>
          <t>Elit</t>
        </is>
      </c>
      <c r="D3" t="inlineStr">
        <is>
          <t>Patron Silver</t>
        </is>
      </c>
      <c r="G3" t="inlineStr">
        <is>
          <t>Buffalo Trace</t>
        </is>
      </c>
      <c r="J3" t="inlineStr">
        <is>
          <t>Tanqueray</t>
        </is>
      </c>
      <c r="M3" t="inlineStr">
        <is>
          <t>E&amp;J Brandy</t>
        </is>
      </c>
    </row>
    <row r="4">
      <c r="A4" t="inlineStr">
        <is>
          <t>Figenza</t>
        </is>
      </c>
      <c r="D4" t="inlineStr">
        <is>
          <t>Patron Repo</t>
        </is>
      </c>
      <c r="G4" t="inlineStr">
        <is>
          <t>Woodford Reserve</t>
        </is>
      </c>
      <c r="J4" t="inlineStr">
        <is>
          <t>Hendricks</t>
        </is>
      </c>
      <c r="M4" t="inlineStr">
        <is>
          <t>Hennessey</t>
        </is>
      </c>
    </row>
    <row r="5">
      <c r="A5" t="inlineStr">
        <is>
          <t>Haiken</t>
        </is>
      </c>
      <c r="D5" t="inlineStr">
        <is>
          <t>Don Julio Silver</t>
        </is>
      </c>
      <c r="G5" t="inlineStr">
        <is>
          <t>Jeffersons Ocean</t>
        </is>
      </c>
      <c r="J5" t="inlineStr">
        <is>
          <t>Condessa</t>
        </is>
      </c>
      <c r="M5" t="inlineStr">
        <is>
          <t>Dewars</t>
        </is>
      </c>
    </row>
    <row r="6">
      <c r="A6" t="inlineStr">
        <is>
          <t>Ketle One</t>
        </is>
      </c>
      <c r="D6" t="inlineStr">
        <is>
          <t>Loca Loka</t>
        </is>
      </c>
      <c r="G6" t="inlineStr">
        <is>
          <t>Toki Japanese Whisky</t>
        </is>
      </c>
      <c r="J6" t="inlineStr">
        <is>
          <t>Bombay Sapphire</t>
        </is>
      </c>
      <c r="M6" t="inlineStr">
        <is>
          <t>Johnnie Walker Black</t>
        </is>
      </c>
    </row>
    <row r="7">
      <c r="A7" t="inlineStr">
        <is>
          <t>Belvedere</t>
        </is>
      </c>
      <c r="D7" t="inlineStr">
        <is>
          <t>Aguasol Blanco</t>
        </is>
      </c>
      <c r="G7" t="inlineStr">
        <is>
          <t>Sazerac Rye</t>
        </is>
      </c>
      <c r="J7" t="inlineStr">
        <is>
          <t>Empress 1908</t>
        </is>
      </c>
      <c r="M7" t="inlineStr">
        <is>
          <t>Johnnie Walker Red Label</t>
        </is>
      </c>
    </row>
    <row r="8">
      <c r="A8" t="inlineStr">
        <is>
          <t>Grey Goose</t>
        </is>
      </c>
      <c r="D8" t="inlineStr">
        <is>
          <t>Aguasol Repo</t>
        </is>
      </c>
      <c r="G8" t="inlineStr">
        <is>
          <t>Whitsle Pig 12 Year</t>
        </is>
      </c>
      <c r="J8" t="inlineStr">
        <is>
          <t>Empress 0.0</t>
        </is>
      </c>
      <c r="M8" t="inlineStr">
        <is>
          <t>Laphorig</t>
        </is>
      </c>
    </row>
    <row r="9"/>
    <row r="10"/>
    <row r="11"/>
    <row r="12"/>
    <row r="13"/>
    <row r="14">
      <c r="A14" s="57" t="inlineStr">
        <is>
          <t>Column 1 Low</t>
        </is>
      </c>
      <c r="D14" s="57" t="inlineStr">
        <is>
          <t>Column 2 Low</t>
        </is>
      </c>
      <c r="G14" t="inlineStr">
        <is>
          <t>Column 3 Low</t>
        </is>
      </c>
      <c r="J14" s="57" t="inlineStr">
        <is>
          <t>Column 4 Low</t>
        </is>
      </c>
      <c r="M14" t="inlineStr">
        <is>
          <t>Column 5 Low</t>
        </is>
      </c>
    </row>
    <row r="15">
      <c r="A15" t="inlineStr">
        <is>
          <t>Three Olives Loopy</t>
        </is>
      </c>
      <c r="D15" t="inlineStr">
        <is>
          <t>Casamigos Blanco</t>
        </is>
      </c>
      <c r="G15" t="inlineStr">
        <is>
          <t>Jameson Irish Whiskey</t>
        </is>
      </c>
      <c r="J15" t="inlineStr">
        <is>
          <t>Malibu</t>
        </is>
      </c>
      <c r="M15" t="inlineStr">
        <is>
          <t>Campari</t>
        </is>
      </c>
    </row>
    <row r="16">
      <c r="A16" t="inlineStr">
        <is>
          <t>Absolut Tabasco</t>
        </is>
      </c>
      <c r="D16" t="inlineStr">
        <is>
          <t>Espolon Blanco</t>
        </is>
      </c>
      <c r="G16" t="inlineStr">
        <is>
          <t>Jameson Orange Irish Whiskey</t>
        </is>
      </c>
      <c r="J16" t="inlineStr">
        <is>
          <t>Diplmatico</t>
        </is>
      </c>
      <c r="M16" t="inlineStr">
        <is>
          <t>Absinthe</t>
        </is>
      </c>
    </row>
    <row r="17">
      <c r="A17" t="inlineStr">
        <is>
          <t>Stoli Orange</t>
        </is>
      </c>
      <c r="D17" t="inlineStr">
        <is>
          <t>Espolon Repo</t>
        </is>
      </c>
      <c r="G17" t="inlineStr">
        <is>
          <t>Makers Mark</t>
        </is>
      </c>
      <c r="J17" t="inlineStr">
        <is>
          <t>Bacardi Silver</t>
        </is>
      </c>
      <c r="M17" t="inlineStr">
        <is>
          <t>Amrao Ninno</t>
        </is>
      </c>
    </row>
    <row r="18">
      <c r="A18" t="inlineStr">
        <is>
          <t>Stoli Blueberry</t>
        </is>
      </c>
      <c r="D18" t="inlineStr">
        <is>
          <t>Espolon Anejo</t>
        </is>
      </c>
      <c r="G18" t="inlineStr">
        <is>
          <t>Crown Royal</t>
        </is>
      </c>
      <c r="J18" t="inlineStr">
        <is>
          <t>Bacardi Pineapple</t>
        </is>
      </c>
      <c r="M18" t="inlineStr">
        <is>
          <t>Cherry Herringg</t>
        </is>
      </c>
    </row>
    <row r="19">
      <c r="A19" t="inlineStr">
        <is>
          <t>Stoli Cucumber</t>
        </is>
      </c>
      <c r="D19" t="inlineStr">
        <is>
          <t>Mani Ball</t>
        </is>
      </c>
      <c r="G19" t="inlineStr">
        <is>
          <t>Crown Royal Regal Apple</t>
        </is>
      </c>
      <c r="J19" t="inlineStr">
        <is>
          <t>Captain Morgan</t>
        </is>
      </c>
      <c r="M19" t="inlineStr">
        <is>
          <t>Grand Mariner</t>
        </is>
      </c>
    </row>
    <row r="20">
      <c r="A20" t="inlineStr">
        <is>
          <t>Stoli Vanillia</t>
        </is>
      </c>
      <c r="D20" t="inlineStr">
        <is>
          <t>Illegal Joven</t>
        </is>
      </c>
      <c r="J20" t="inlineStr">
        <is>
          <t>Pisco Brandy</t>
        </is>
      </c>
      <c r="M20" t="inlineStr">
        <is>
          <t>Malort</t>
        </is>
      </c>
    </row>
    <row r="21">
      <c r="A21" t="inlineStr">
        <is>
          <t>Stoli 80</t>
        </is>
      </c>
      <c r="M21" t="inlineStr">
        <is>
          <t>Watermelon Pucker</t>
        </is>
      </c>
    </row>
    <row r="22">
      <c r="M22" t="inlineStr">
        <is>
          <t>Cointreau</t>
        </is>
      </c>
    </row>
    <row r="23">
      <c r="M23" t="inlineStr">
        <is>
          <t>Fernet Branca</t>
        </is>
      </c>
    </row>
    <row r="24">
      <c r="M24" t="inlineStr">
        <is>
          <t>Branca Mentha</t>
        </is>
      </c>
    </row>
    <row r="25">
      <c r="M25" t="inlineStr">
        <is>
          <t>Cheareau</t>
        </is>
      </c>
    </row>
    <row r="26">
      <c r="M26" t="inlineStr">
        <is>
          <t>Pama</t>
        </is>
      </c>
    </row>
    <row r="27">
      <c r="M27" t="inlineStr">
        <is>
          <t>Montenegro</t>
        </is>
      </c>
    </row>
    <row r="28">
      <c r="M28" t="inlineStr">
        <is>
          <t>Modri</t>
        </is>
      </c>
    </row>
    <row r="29">
      <c r="M29" t="inlineStr">
        <is>
          <t>Madori</t>
        </is>
      </c>
    </row>
    <row r="30">
      <c r="M30" t="inlineStr">
        <is>
          <t>Sour Apple</t>
        </is>
      </c>
    </row>
    <row r="31">
      <c r="M31" t="inlineStr">
        <is>
          <t>Velvet Flarenum</t>
        </is>
      </c>
    </row>
  </sheetData>
  <mergeCells count="8">
    <mergeCell ref="D1:E1"/>
    <mergeCell ref="G1:H1"/>
    <mergeCell ref="J14:K14"/>
    <mergeCell ref="J1:K1"/>
    <mergeCell ref="D14:E14"/>
    <mergeCell ref="A14:B14"/>
    <mergeCell ref="A1:B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 Street</dc:creator>
  <dcterms:created xsi:type="dcterms:W3CDTF">2025-11-14T03:08:17Z</dcterms:created>
  <dcterms:modified xsi:type="dcterms:W3CDTF">2026-06-29T01:43:01Z</dcterms:modified>
  <cp:lastModifiedBy>Christopher Watson</cp:lastModifiedBy>
  <cp:lastPrinted>2026-03-24T15:37:19Z</cp:lastPrinted>
</cp:coreProperties>
</file>